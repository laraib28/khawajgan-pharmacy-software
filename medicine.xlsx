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8C71466-B1C3-46C7-9919-79CE747BFC9C}" xr6:coauthVersionLast="36" xr6:coauthVersionMax="36" xr10:uidLastSave="{00000000-0000-0000-0000-000000000000}"/>
  <bookViews>
    <workbookView xWindow="120" yWindow="12" windowWidth="18960" windowHeight="11328" firstSheet="2" activeTab="2" xr2:uid="{00000000-000D-0000-FFFF-FFFF00000000}"/>
  </bookViews>
  <sheets>
    <sheet name="Table 1" sheetId="1" state="hidden" r:id="rId1"/>
    <sheet name="Store" sheetId="2" state="hidden" r:id="rId2"/>
    <sheet name="Stock register" sheetId="4" r:id="rId3"/>
    <sheet name="TRANSACTION" sheetId="5" r:id="rId4"/>
    <sheet name="Pharmacy" sheetId="3" state="hidden" r:id="rId5"/>
  </sheets>
  <definedNames>
    <definedName name="_xlnm._FilterDatabase" localSheetId="1" hidden="1">Store!$A$2:$F$174</definedName>
    <definedName name="LIST" localSheetId="3">Table1[DESCRIPTION2]</definedName>
    <definedName name="list">Table1[DESCRIPTION2]</definedName>
  </definedNames>
  <calcPr calcId="191029"/>
</workbook>
</file>

<file path=xl/calcChain.xml><?xml version="1.0" encoding="utf-8"?>
<calcChain xmlns="http://schemas.openxmlformats.org/spreadsheetml/2006/main">
  <c r="G333" i="4" l="1"/>
  <c r="H333" i="4"/>
  <c r="H331" i="4"/>
  <c r="H332" i="4"/>
  <c r="G331" i="4"/>
  <c r="G332" i="4"/>
  <c r="I333" i="4" l="1"/>
  <c r="I332" i="4"/>
  <c r="I331" i="4"/>
  <c r="H329" i="4"/>
  <c r="H330" i="4"/>
  <c r="G330" i="4"/>
  <c r="I330" i="4" l="1"/>
  <c r="H327" i="4"/>
  <c r="H328" i="4"/>
  <c r="G329" i="4"/>
  <c r="I329" i="4" s="1"/>
  <c r="G328" i="4"/>
  <c r="I328" i="4" l="1"/>
  <c r="H325" i="4"/>
  <c r="H326" i="4"/>
  <c r="G327" i="4"/>
  <c r="I327" i="4" s="1"/>
  <c r="G326" i="4"/>
  <c r="H323" i="4"/>
  <c r="H324" i="4"/>
  <c r="G325" i="4"/>
  <c r="G324" i="4"/>
  <c r="G323" i="4"/>
  <c r="I325" i="4" l="1"/>
  <c r="I326" i="4"/>
  <c r="I323" i="4"/>
  <c r="I324" i="4"/>
  <c r="H322" i="4"/>
  <c r="G322" i="4"/>
  <c r="I322" i="4" l="1"/>
  <c r="H321" i="4"/>
  <c r="G321" i="4"/>
  <c r="I321" i="4" l="1"/>
  <c r="H320" i="4"/>
  <c r="H316" i="4" l="1"/>
  <c r="H317" i="4"/>
  <c r="H318" i="4"/>
  <c r="H319" i="4"/>
  <c r="G320" i="4"/>
  <c r="I320" i="4" s="1"/>
  <c r="G319" i="4"/>
  <c r="G318" i="4"/>
  <c r="G317" i="4"/>
  <c r="I318" i="4" l="1"/>
  <c r="I317" i="4"/>
  <c r="I319" i="4"/>
  <c r="H310" i="4"/>
  <c r="H311" i="4"/>
  <c r="H312" i="4"/>
  <c r="H313" i="4"/>
  <c r="H314" i="4"/>
  <c r="H315" i="4"/>
  <c r="G316" i="4"/>
  <c r="I316" i="4" s="1"/>
  <c r="G315" i="4"/>
  <c r="G314" i="4"/>
  <c r="G313" i="4"/>
  <c r="G312" i="4"/>
  <c r="G311" i="4"/>
  <c r="G310" i="4"/>
  <c r="I310" i="4" l="1"/>
  <c r="I311" i="4"/>
  <c r="I312" i="4"/>
  <c r="I314" i="4"/>
  <c r="I313" i="4"/>
  <c r="I315" i="4"/>
  <c r="H309" i="4"/>
  <c r="G309" i="4"/>
  <c r="I309" i="4" l="1"/>
  <c r="H308" i="4"/>
  <c r="H307" i="4" l="1"/>
  <c r="G308" i="4"/>
  <c r="I308" i="4" s="1"/>
  <c r="H297" i="4" l="1"/>
  <c r="H298" i="4"/>
  <c r="H299" i="4"/>
  <c r="H300" i="4"/>
  <c r="H301" i="4"/>
  <c r="H302" i="4"/>
  <c r="H303" i="4"/>
  <c r="H304" i="4"/>
  <c r="H305" i="4"/>
  <c r="H306" i="4"/>
  <c r="G307" i="4"/>
  <c r="I307" i="4" s="1"/>
  <c r="G306" i="4"/>
  <c r="G305" i="4"/>
  <c r="G304" i="4"/>
  <c r="G303" i="4"/>
  <c r="G302" i="4"/>
  <c r="G301" i="4"/>
  <c r="G300" i="4"/>
  <c r="G299" i="4"/>
  <c r="G298" i="4"/>
  <c r="I298" i="4" l="1"/>
  <c r="I302" i="4"/>
  <c r="I303" i="4"/>
  <c r="I299" i="4"/>
  <c r="I301" i="4"/>
  <c r="I300" i="4"/>
  <c r="I304" i="4"/>
  <c r="I305" i="4"/>
  <c r="I306" i="4"/>
  <c r="H296" i="4"/>
  <c r="G297" i="4"/>
  <c r="I297" i="4" s="1"/>
  <c r="H295" i="4" l="1"/>
  <c r="G296" i="4"/>
  <c r="I296" i="4" s="1"/>
  <c r="H291" i="4"/>
  <c r="H292" i="4"/>
  <c r="H293" i="4"/>
  <c r="H294" i="4"/>
  <c r="G295" i="4"/>
  <c r="G294" i="4"/>
  <c r="G293" i="4"/>
  <c r="G292" i="4"/>
  <c r="G291" i="4"/>
  <c r="I293" i="4" l="1"/>
  <c r="I291" i="4"/>
  <c r="I295" i="4"/>
  <c r="I292" i="4"/>
  <c r="I294" i="4"/>
  <c r="H288" i="4"/>
  <c r="H289" i="4"/>
  <c r="H290" i="4"/>
  <c r="G289" i="4"/>
  <c r="G290" i="4"/>
  <c r="I289" i="4" l="1"/>
  <c r="I290" i="4"/>
  <c r="H286" i="4"/>
  <c r="H287" i="4"/>
  <c r="G288" i="4"/>
  <c r="I288" i="4" s="1"/>
  <c r="G287" i="4"/>
  <c r="G286" i="4"/>
  <c r="H285" i="4"/>
  <c r="I287" i="4" l="1"/>
  <c r="I286" i="4"/>
  <c r="H284" i="4"/>
  <c r="G285" i="4"/>
  <c r="I285" i="4" s="1"/>
  <c r="H123" i="4" l="1"/>
  <c r="H283" i="4" l="1"/>
  <c r="G284" i="4"/>
  <c r="I284" i="4" s="1"/>
  <c r="H282" i="4" l="1"/>
  <c r="G283" i="4"/>
  <c r="I283" i="4" s="1"/>
  <c r="H272" i="4" l="1"/>
  <c r="H273" i="4"/>
  <c r="H274" i="4"/>
  <c r="H275" i="4"/>
  <c r="H276" i="4"/>
  <c r="H277" i="4"/>
  <c r="H278" i="4"/>
  <c r="H279" i="4"/>
  <c r="H280" i="4"/>
  <c r="H281" i="4"/>
  <c r="G282" i="4"/>
  <c r="I282" i="4" s="1"/>
  <c r="G281" i="4"/>
  <c r="G280" i="4"/>
  <c r="G279" i="4"/>
  <c r="G278" i="4"/>
  <c r="G277" i="4"/>
  <c r="G276" i="4"/>
  <c r="G275" i="4"/>
  <c r="G274" i="4"/>
  <c r="G273" i="4"/>
  <c r="I274" i="4" l="1"/>
  <c r="I273" i="4"/>
  <c r="I277" i="4"/>
  <c r="I278" i="4"/>
  <c r="I276" i="4"/>
  <c r="I280" i="4"/>
  <c r="I275" i="4"/>
  <c r="I279" i="4"/>
  <c r="I281" i="4"/>
  <c r="H270" i="4"/>
  <c r="H271" i="4"/>
  <c r="G272" i="4"/>
  <c r="I272" i="4" s="1"/>
  <c r="G271" i="4"/>
  <c r="I271" i="4" l="1"/>
  <c r="H264" i="4"/>
  <c r="H265" i="4"/>
  <c r="H266" i="4"/>
  <c r="H267" i="4"/>
  <c r="H268" i="4"/>
  <c r="H269" i="4"/>
  <c r="G270" i="4"/>
  <c r="I270" i="4" s="1"/>
  <c r="G269" i="4"/>
  <c r="G268" i="4"/>
  <c r="G267" i="4"/>
  <c r="G266" i="4"/>
  <c r="G265" i="4"/>
  <c r="I265" i="4" l="1"/>
  <c r="I266" i="4"/>
  <c r="I268" i="4"/>
  <c r="I269" i="4"/>
  <c r="I267" i="4"/>
  <c r="H259" i="4"/>
  <c r="H260" i="4"/>
  <c r="H261" i="4"/>
  <c r="H262" i="4"/>
  <c r="H263" i="4"/>
  <c r="G264" i="4"/>
  <c r="I264" i="4" s="1"/>
  <c r="G263" i="4"/>
  <c r="G262" i="4"/>
  <c r="G261" i="4"/>
  <c r="G260" i="4"/>
  <c r="I263" i="4" l="1"/>
  <c r="I262" i="4"/>
  <c r="I260" i="4"/>
  <c r="I261" i="4"/>
  <c r="H258" i="4"/>
  <c r="G259" i="4"/>
  <c r="I259" i="4" s="1"/>
  <c r="H251" i="4"/>
  <c r="H252" i="4"/>
  <c r="H253" i="4"/>
  <c r="H254" i="4"/>
  <c r="H255" i="4"/>
  <c r="H256" i="4"/>
  <c r="H257" i="4"/>
  <c r="H249" i="4"/>
  <c r="H250" i="4"/>
  <c r="G258" i="4"/>
  <c r="G257" i="4"/>
  <c r="G256" i="4"/>
  <c r="G255" i="4"/>
  <c r="I257" i="4" l="1"/>
  <c r="I255" i="4"/>
  <c r="I258" i="4"/>
  <c r="I256" i="4"/>
  <c r="G254" i="4"/>
  <c r="I254" i="4" s="1"/>
  <c r="G253" i="4"/>
  <c r="I253" i="4" s="1"/>
  <c r="G252" i="4" l="1"/>
  <c r="I252" i="4" s="1"/>
  <c r="G251" i="4"/>
  <c r="I251" i="4" s="1"/>
  <c r="G249" i="4" l="1"/>
  <c r="I249" i="4" s="1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2" i="4"/>
  <c r="G2" i="4"/>
  <c r="I2" i="4" l="1"/>
  <c r="G250" i="4"/>
  <c r="I250" i="4" s="1"/>
  <c r="G248" i="4" l="1"/>
  <c r="I248" i="4" s="1"/>
  <c r="G247" i="4" l="1"/>
  <c r="I247" i="4" s="1"/>
  <c r="G246" i="4"/>
  <c r="I246" i="4" s="1"/>
  <c r="G245" i="4"/>
  <c r="I245" i="4" s="1"/>
  <c r="G244" i="4" l="1"/>
  <c r="I244" i="4" s="1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 l="1"/>
  <c r="I235" i="4" s="1"/>
  <c r="G234" i="4" l="1"/>
  <c r="I234" i="4" s="1"/>
  <c r="G233" i="4"/>
  <c r="I233" i="4" s="1"/>
  <c r="G232" i="4"/>
  <c r="I232" i="4" s="1"/>
  <c r="G231" i="4" l="1"/>
  <c r="I231" i="4" s="1"/>
  <c r="G230" i="4"/>
  <c r="I230" i="4" s="1"/>
  <c r="G229" i="4" l="1"/>
  <c r="I229" i="4" s="1"/>
  <c r="G228" i="4"/>
  <c r="I228" i="4" s="1"/>
  <c r="G223" i="4" l="1"/>
  <c r="I223" i="4" s="1"/>
  <c r="G227" i="4"/>
  <c r="I227" i="4" s="1"/>
  <c r="G226" i="4"/>
  <c r="I226" i="4" s="1"/>
  <c r="G225" i="4"/>
  <c r="I225" i="4" s="1"/>
  <c r="G224" i="4"/>
  <c r="I224" i="4" s="1"/>
  <c r="G222" i="4"/>
  <c r="I222" i="4" s="1"/>
  <c r="G221" i="4" l="1"/>
  <c r="I221" i="4" s="1"/>
  <c r="G220" i="4"/>
  <c r="I220" i="4" s="1"/>
  <c r="G219" i="4" l="1"/>
  <c r="I219" i="4" s="1"/>
  <c r="G218" i="4"/>
  <c r="I218" i="4" s="1"/>
  <c r="G217" i="4" l="1"/>
  <c r="I217" i="4" s="1"/>
  <c r="G216" i="4"/>
  <c r="I216" i="4" s="1"/>
  <c r="G215" i="4"/>
  <c r="I215" i="4" s="1"/>
  <c r="G214" i="4"/>
  <c r="I214" i="4" s="1"/>
  <c r="G213" i="4"/>
  <c r="I213" i="4" s="1"/>
  <c r="G212" i="4"/>
  <c r="I212" i="4" s="1"/>
  <c r="G211" i="4"/>
  <c r="I211" i="4" s="1"/>
  <c r="G210" i="4"/>
  <c r="I210" i="4" s="1"/>
  <c r="G209" i="4" l="1"/>
  <c r="I209" i="4" s="1"/>
  <c r="G191" i="4" l="1"/>
  <c r="I191" i="4" s="1"/>
  <c r="G208" i="4"/>
  <c r="I208" i="4" s="1"/>
  <c r="G207" i="4"/>
  <c r="I207" i="4" s="1"/>
  <c r="G206" i="4"/>
  <c r="I206" i="4" s="1"/>
  <c r="G205" i="4"/>
  <c r="I205" i="4" s="1"/>
  <c r="G204" i="4"/>
  <c r="I204" i="4" s="1"/>
  <c r="G203" i="4"/>
  <c r="I203" i="4" s="1"/>
  <c r="G202" i="4"/>
  <c r="I202" i="4" s="1"/>
  <c r="G201" i="4"/>
  <c r="I201" i="4" s="1"/>
  <c r="G200" i="4"/>
  <c r="I200" i="4" s="1"/>
  <c r="G199" i="4"/>
  <c r="I199" i="4" s="1"/>
  <c r="G198" i="4"/>
  <c r="I198" i="4" s="1"/>
  <c r="G197" i="4"/>
  <c r="I197" i="4" s="1"/>
  <c r="G196" i="4"/>
  <c r="I196" i="4" s="1"/>
  <c r="G195" i="4"/>
  <c r="I195" i="4" s="1"/>
  <c r="G194" i="4"/>
  <c r="I194" i="4" s="1"/>
  <c r="G193" i="4"/>
  <c r="I193" i="4" s="1"/>
  <c r="G192" i="4"/>
  <c r="I192" i="4" s="1"/>
  <c r="G190" i="4" l="1"/>
  <c r="I190" i="4" s="1"/>
  <c r="G189" i="4"/>
  <c r="I189" i="4" s="1"/>
  <c r="G188" i="4"/>
  <c r="I188" i="4" s="1"/>
  <c r="G187" i="4"/>
  <c r="I187" i="4" s="1"/>
  <c r="G186" i="4"/>
  <c r="I186" i="4" s="1"/>
  <c r="G185" i="4"/>
  <c r="I185" i="4" s="1"/>
  <c r="G184" i="4"/>
  <c r="I184" i="4" s="1"/>
  <c r="G180" i="4" l="1"/>
  <c r="I180" i="4" s="1"/>
  <c r="G183" i="4"/>
  <c r="I183" i="4" s="1"/>
  <c r="G182" i="4"/>
  <c r="I182" i="4" s="1"/>
  <c r="G175" i="4" l="1"/>
  <c r="I175" i="4" s="1"/>
  <c r="G3" i="4" l="1"/>
  <c r="I3" i="4" s="1"/>
  <c r="G4" i="4"/>
  <c r="I4" i="4" s="1"/>
  <c r="G5" i="4"/>
  <c r="I5" i="4" s="1"/>
  <c r="G6" i="4"/>
  <c r="I6" i="4" s="1"/>
  <c r="G7" i="4"/>
  <c r="I7" i="4" s="1"/>
  <c r="G8" i="4"/>
  <c r="I8" i="4" s="1"/>
  <c r="G9" i="4"/>
  <c r="I9" i="4" s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I19" i="4" s="1"/>
  <c r="G20" i="4"/>
  <c r="I20" i="4" s="1"/>
  <c r="G21" i="4"/>
  <c r="I21" i="4" s="1"/>
  <c r="G22" i="4"/>
  <c r="I22" i="4" s="1"/>
  <c r="G23" i="4"/>
  <c r="I23" i="4" s="1"/>
  <c r="G24" i="4"/>
  <c r="I24" i="4" s="1"/>
  <c r="G25" i="4"/>
  <c r="I25" i="4" s="1"/>
  <c r="G26" i="4"/>
  <c r="I26" i="4" s="1"/>
  <c r="G27" i="4"/>
  <c r="I27" i="4" s="1"/>
  <c r="G28" i="4"/>
  <c r="I28" i="4" s="1"/>
  <c r="G29" i="4"/>
  <c r="I29" i="4" s="1"/>
  <c r="G30" i="4"/>
  <c r="I30" i="4" s="1"/>
  <c r="G31" i="4"/>
  <c r="I31" i="4" s="1"/>
  <c r="G32" i="4"/>
  <c r="I32" i="4" s="1"/>
  <c r="G33" i="4"/>
  <c r="I33" i="4" s="1"/>
  <c r="G34" i="4"/>
  <c r="I34" i="4" s="1"/>
  <c r="G35" i="4"/>
  <c r="I35" i="4" s="1"/>
  <c r="G36" i="4"/>
  <c r="I36" i="4" s="1"/>
  <c r="G37" i="4"/>
  <c r="I37" i="4" s="1"/>
  <c r="G38" i="4"/>
  <c r="I38" i="4" s="1"/>
  <c r="G39" i="4"/>
  <c r="I39" i="4" s="1"/>
  <c r="G40" i="4"/>
  <c r="I40" i="4" s="1"/>
  <c r="G41" i="4"/>
  <c r="I41" i="4" s="1"/>
  <c r="G42" i="4"/>
  <c r="I42" i="4" s="1"/>
  <c r="G43" i="4"/>
  <c r="I43" i="4" s="1"/>
  <c r="G44" i="4"/>
  <c r="I44" i="4" s="1"/>
  <c r="G45" i="4"/>
  <c r="I45" i="4" s="1"/>
  <c r="G46" i="4"/>
  <c r="I46" i="4" s="1"/>
  <c r="G47" i="4"/>
  <c r="I47" i="4" s="1"/>
  <c r="G48" i="4"/>
  <c r="I48" i="4" s="1"/>
  <c r="G49" i="4"/>
  <c r="I49" i="4" s="1"/>
  <c r="G50" i="4"/>
  <c r="I50" i="4" s="1"/>
  <c r="G51" i="4"/>
  <c r="I51" i="4" s="1"/>
  <c r="G52" i="4"/>
  <c r="I52" i="4" s="1"/>
  <c r="G53" i="4"/>
  <c r="I53" i="4" s="1"/>
  <c r="G54" i="4"/>
  <c r="I54" i="4" s="1"/>
  <c r="G55" i="4"/>
  <c r="I55" i="4" s="1"/>
  <c r="G56" i="4"/>
  <c r="I56" i="4" s="1"/>
  <c r="G57" i="4"/>
  <c r="I57" i="4" s="1"/>
  <c r="G58" i="4"/>
  <c r="I58" i="4" s="1"/>
  <c r="G59" i="4"/>
  <c r="I59" i="4" s="1"/>
  <c r="G60" i="4"/>
  <c r="I60" i="4" s="1"/>
  <c r="G61" i="4"/>
  <c r="I61" i="4" s="1"/>
  <c r="G62" i="4"/>
  <c r="I62" i="4" s="1"/>
  <c r="G63" i="4"/>
  <c r="I63" i="4" s="1"/>
  <c r="G64" i="4"/>
  <c r="I64" i="4" s="1"/>
  <c r="G65" i="4"/>
  <c r="I65" i="4" s="1"/>
  <c r="G66" i="4"/>
  <c r="I66" i="4" s="1"/>
  <c r="G67" i="4"/>
  <c r="I67" i="4" s="1"/>
  <c r="G68" i="4"/>
  <c r="I68" i="4" s="1"/>
  <c r="G69" i="4"/>
  <c r="I69" i="4" s="1"/>
  <c r="G70" i="4"/>
  <c r="I70" i="4" s="1"/>
  <c r="G71" i="4"/>
  <c r="I71" i="4" s="1"/>
  <c r="G72" i="4"/>
  <c r="I72" i="4" s="1"/>
  <c r="G73" i="4"/>
  <c r="I73" i="4" s="1"/>
  <c r="G74" i="4"/>
  <c r="I74" i="4" s="1"/>
  <c r="G75" i="4"/>
  <c r="I75" i="4" s="1"/>
  <c r="G76" i="4"/>
  <c r="I76" i="4" s="1"/>
  <c r="G77" i="4"/>
  <c r="I77" i="4" s="1"/>
  <c r="G78" i="4"/>
  <c r="I78" i="4" s="1"/>
  <c r="G79" i="4"/>
  <c r="I79" i="4" s="1"/>
  <c r="G80" i="4"/>
  <c r="I80" i="4" s="1"/>
  <c r="G81" i="4"/>
  <c r="I81" i="4" s="1"/>
  <c r="G82" i="4"/>
  <c r="I82" i="4" s="1"/>
  <c r="G83" i="4"/>
  <c r="I83" i="4" s="1"/>
  <c r="G84" i="4"/>
  <c r="I84" i="4" s="1"/>
  <c r="G85" i="4"/>
  <c r="I85" i="4" s="1"/>
  <c r="G86" i="4"/>
  <c r="I86" i="4" s="1"/>
  <c r="G87" i="4"/>
  <c r="I87" i="4" s="1"/>
  <c r="G88" i="4"/>
  <c r="I88" i="4" s="1"/>
  <c r="G89" i="4"/>
  <c r="I89" i="4" s="1"/>
  <c r="G90" i="4"/>
  <c r="I90" i="4" s="1"/>
  <c r="G91" i="4"/>
  <c r="I91" i="4" s="1"/>
  <c r="G92" i="4"/>
  <c r="I92" i="4" s="1"/>
  <c r="G93" i="4"/>
  <c r="I93" i="4" s="1"/>
  <c r="G94" i="4"/>
  <c r="I94" i="4" s="1"/>
  <c r="G95" i="4"/>
  <c r="I95" i="4" s="1"/>
  <c r="G96" i="4"/>
  <c r="I96" i="4" s="1"/>
  <c r="G97" i="4"/>
  <c r="I97" i="4" s="1"/>
  <c r="G98" i="4"/>
  <c r="I98" i="4" s="1"/>
  <c r="G99" i="4"/>
  <c r="I99" i="4" s="1"/>
  <c r="G100" i="4"/>
  <c r="I100" i="4" s="1"/>
  <c r="G101" i="4"/>
  <c r="I101" i="4" s="1"/>
  <c r="G102" i="4"/>
  <c r="I102" i="4" s="1"/>
  <c r="G103" i="4"/>
  <c r="I103" i="4" s="1"/>
  <c r="G104" i="4"/>
  <c r="I104" i="4" s="1"/>
  <c r="G105" i="4"/>
  <c r="I105" i="4" s="1"/>
  <c r="G106" i="4"/>
  <c r="I106" i="4" s="1"/>
  <c r="G107" i="4"/>
  <c r="I107" i="4" s="1"/>
  <c r="G108" i="4"/>
  <c r="I108" i="4" s="1"/>
  <c r="G109" i="4"/>
  <c r="I109" i="4" s="1"/>
  <c r="G110" i="4"/>
  <c r="I110" i="4" s="1"/>
  <c r="G111" i="4"/>
  <c r="I111" i="4" s="1"/>
  <c r="G112" i="4"/>
  <c r="I112" i="4" s="1"/>
  <c r="G113" i="4"/>
  <c r="I113" i="4" s="1"/>
  <c r="G114" i="4"/>
  <c r="I114" i="4" s="1"/>
  <c r="G115" i="4"/>
  <c r="I115" i="4" s="1"/>
  <c r="G116" i="4"/>
  <c r="I116" i="4" s="1"/>
  <c r="G117" i="4"/>
  <c r="I117" i="4" s="1"/>
  <c r="G118" i="4"/>
  <c r="I118" i="4" s="1"/>
  <c r="G119" i="4"/>
  <c r="I119" i="4" s="1"/>
  <c r="G120" i="4"/>
  <c r="I120" i="4" s="1"/>
  <c r="G121" i="4"/>
  <c r="I121" i="4" s="1"/>
  <c r="G122" i="4"/>
  <c r="I122" i="4" s="1"/>
  <c r="G123" i="4"/>
  <c r="I123" i="4" s="1"/>
  <c r="G124" i="4"/>
  <c r="I124" i="4" s="1"/>
  <c r="G125" i="4"/>
  <c r="I125" i="4" s="1"/>
  <c r="G126" i="4"/>
  <c r="I126" i="4" s="1"/>
  <c r="G127" i="4"/>
  <c r="I127" i="4" s="1"/>
  <c r="G128" i="4"/>
  <c r="I128" i="4" s="1"/>
  <c r="G129" i="4"/>
  <c r="I129" i="4" s="1"/>
  <c r="G130" i="4"/>
  <c r="I130" i="4" s="1"/>
  <c r="G131" i="4"/>
  <c r="I131" i="4" s="1"/>
  <c r="G132" i="4"/>
  <c r="I132" i="4" s="1"/>
  <c r="G133" i="4"/>
  <c r="I133" i="4" s="1"/>
  <c r="G134" i="4"/>
  <c r="I134" i="4" s="1"/>
  <c r="G135" i="4"/>
  <c r="I135" i="4" s="1"/>
  <c r="G136" i="4"/>
  <c r="I136" i="4" s="1"/>
  <c r="G137" i="4"/>
  <c r="I137" i="4" s="1"/>
  <c r="G138" i="4"/>
  <c r="I138" i="4" s="1"/>
  <c r="G139" i="4"/>
  <c r="I139" i="4" s="1"/>
  <c r="G140" i="4"/>
  <c r="I140" i="4" s="1"/>
  <c r="G141" i="4"/>
  <c r="I141" i="4" s="1"/>
  <c r="G142" i="4"/>
  <c r="I142" i="4" s="1"/>
  <c r="G143" i="4"/>
  <c r="I143" i="4" s="1"/>
  <c r="G144" i="4"/>
  <c r="I144" i="4" s="1"/>
  <c r="G145" i="4"/>
  <c r="I145" i="4" s="1"/>
  <c r="G146" i="4"/>
  <c r="I146" i="4" s="1"/>
  <c r="G147" i="4"/>
  <c r="I147" i="4" s="1"/>
  <c r="G148" i="4"/>
  <c r="I148" i="4" s="1"/>
  <c r="G149" i="4"/>
  <c r="I149" i="4" s="1"/>
  <c r="G150" i="4"/>
  <c r="I150" i="4" s="1"/>
  <c r="G151" i="4"/>
  <c r="I151" i="4" s="1"/>
  <c r="G152" i="4"/>
  <c r="I152" i="4" s="1"/>
  <c r="G153" i="4"/>
  <c r="I153" i="4" s="1"/>
  <c r="G154" i="4"/>
  <c r="I154" i="4" s="1"/>
  <c r="G155" i="4"/>
  <c r="I155" i="4" s="1"/>
  <c r="G156" i="4"/>
  <c r="I156" i="4" s="1"/>
  <c r="G157" i="4"/>
  <c r="I157" i="4" s="1"/>
  <c r="G158" i="4"/>
  <c r="I158" i="4" s="1"/>
  <c r="G159" i="4"/>
  <c r="I159" i="4" s="1"/>
  <c r="G160" i="4"/>
  <c r="I160" i="4" s="1"/>
  <c r="G161" i="4"/>
  <c r="I161" i="4" s="1"/>
  <c r="G162" i="4"/>
  <c r="I162" i="4" s="1"/>
  <c r="G163" i="4"/>
  <c r="I163" i="4" s="1"/>
  <c r="G164" i="4"/>
  <c r="I164" i="4" s="1"/>
  <c r="G165" i="4"/>
  <c r="I165" i="4" s="1"/>
  <c r="G166" i="4"/>
  <c r="I166" i="4" s="1"/>
  <c r="G167" i="4"/>
  <c r="I167" i="4" s="1"/>
  <c r="G168" i="4"/>
  <c r="I168" i="4" s="1"/>
  <c r="G169" i="4"/>
  <c r="I169" i="4" s="1"/>
  <c r="G170" i="4"/>
  <c r="I170" i="4" s="1"/>
  <c r="G171" i="4"/>
  <c r="I171" i="4" s="1"/>
  <c r="G172" i="4"/>
  <c r="I172" i="4" s="1"/>
  <c r="G173" i="4"/>
  <c r="I173" i="4" s="1"/>
  <c r="G174" i="4"/>
  <c r="I174" i="4" s="1"/>
  <c r="G176" i="4"/>
  <c r="I176" i="4" s="1"/>
  <c r="G177" i="4"/>
  <c r="I177" i="4" s="1"/>
  <c r="G178" i="4"/>
  <c r="I178" i="4" s="1"/>
  <c r="G179" i="4"/>
  <c r="I179" i="4" s="1"/>
  <c r="G181" i="4"/>
  <c r="I181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1" authorId="0" shapeId="0" xr:uid="{65C85034-1E0A-4DF6-97C8-2BDA8E83A2E4}">
      <text>
        <r>
          <rPr>
            <b/>
            <sz val="9"/>
            <color indexed="81"/>
            <rFont val="Tahoma"/>
            <family val="2"/>
          </rPr>
          <t>ADMIN: To unprotect sheet input password 1234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<sst xmlns="http://schemas.openxmlformats.org/spreadsheetml/2006/main" count="5733" uniqueCount="694">
  <si>
    <r>
      <rPr>
        <b/>
        <u/>
        <sz val="16"/>
        <rFont val="Times New Roman"/>
        <family val="1"/>
      </rPr>
      <t>STORE INVENTORY STOCK</t>
    </r>
  </si>
  <si>
    <r>
      <rPr>
        <sz val="12"/>
        <rFont val="Times New Roman"/>
        <family val="1"/>
      </rPr>
      <t>S.NO.</t>
    </r>
  </si>
  <si>
    <r>
      <rPr>
        <sz val="12"/>
        <rFont val="Times New Roman"/>
        <family val="1"/>
      </rPr>
      <t>MEDICINE</t>
    </r>
  </si>
  <si>
    <r>
      <rPr>
        <sz val="12"/>
        <rFont val="Times New Roman"/>
        <family val="1"/>
      </rPr>
      <t>QUANT.</t>
    </r>
  </si>
  <si>
    <r>
      <rPr>
        <sz val="12"/>
        <rFont val="Times New Roman"/>
        <family val="1"/>
      </rPr>
      <t>DISPENSED+DATE</t>
    </r>
  </si>
  <si>
    <r>
      <rPr>
        <b/>
        <sz val="14"/>
        <rFont val="Times New Roman"/>
        <family val="1"/>
      </rPr>
      <t>CREAMS</t>
    </r>
  </si>
  <si>
    <r>
      <rPr>
        <sz val="12"/>
        <rFont val="Times New Roman"/>
        <family val="1"/>
      </rPr>
      <t xml:space="preserve">BETADERM </t>
    </r>
    <r>
      <rPr>
        <sz val="12"/>
        <color rgb="FF4471C4"/>
        <rFont val="Times New Roman"/>
        <family val="1"/>
      </rPr>
      <t>(betamethasone)</t>
    </r>
  </si>
  <si>
    <r>
      <rPr>
        <sz val="12"/>
        <rFont val="Times New Roman"/>
        <family val="1"/>
      </rPr>
      <t xml:space="preserve">Clotrim </t>
    </r>
    <r>
      <rPr>
        <sz val="12"/>
        <color rgb="FF4471C4"/>
        <rFont val="Times New Roman"/>
        <family val="1"/>
      </rPr>
      <t>(Clotrimazole)</t>
    </r>
  </si>
  <si>
    <r>
      <rPr>
        <sz val="12"/>
        <rFont val="Times New Roman"/>
        <family val="1"/>
      </rPr>
      <t>2 (25-7)</t>
    </r>
  </si>
  <si>
    <r>
      <rPr>
        <sz val="12"/>
        <rFont val="Times New Roman"/>
        <family val="1"/>
      </rPr>
      <t xml:space="preserve">DAKTARIN GEL </t>
    </r>
    <r>
      <rPr>
        <sz val="12"/>
        <color rgb="FF4471C4"/>
        <rFont val="Times New Roman"/>
        <family val="1"/>
      </rPr>
      <t>(miconazole)</t>
    </r>
  </si>
  <si>
    <r>
      <rPr>
        <sz val="12"/>
        <rFont val="Times New Roman"/>
        <family val="1"/>
      </rPr>
      <t xml:space="preserve">DEXA-N </t>
    </r>
    <r>
      <rPr>
        <sz val="12"/>
        <color rgb="FF4471C4"/>
        <rFont val="Times New Roman"/>
        <family val="1"/>
      </rPr>
      <t>(dexamethasone + neomycin)</t>
    </r>
  </si>
  <si>
    <r>
      <rPr>
        <sz val="12"/>
        <rFont val="Times New Roman"/>
        <family val="1"/>
      </rPr>
      <t xml:space="preserve">FUDINAC </t>
    </r>
    <r>
      <rPr>
        <sz val="12"/>
        <color rgb="FF4471C4"/>
        <rFont val="Times New Roman"/>
        <family val="1"/>
      </rPr>
      <t>(Fusidic acid + betamethasone valerate)</t>
    </r>
  </si>
  <si>
    <r>
      <rPr>
        <sz val="12"/>
        <rFont val="Times New Roman"/>
        <family val="1"/>
      </rPr>
      <t xml:space="preserve">Fusidic-h </t>
    </r>
    <r>
      <rPr>
        <sz val="12"/>
        <color rgb="FF4471C4"/>
        <rFont val="Times New Roman"/>
        <family val="1"/>
      </rPr>
      <t>(Fusidic Acid + Hydrocortisone Acetate)</t>
    </r>
  </si>
  <si>
    <r>
      <rPr>
        <sz val="12"/>
        <rFont val="Times New Roman"/>
        <family val="1"/>
      </rPr>
      <t xml:space="preserve">KANDEX-N </t>
    </r>
    <r>
      <rPr>
        <sz val="12"/>
        <color rgb="FF4471C4"/>
        <rFont val="Times New Roman"/>
        <family val="1"/>
      </rPr>
      <t>(dexamethasone + neomycin)</t>
    </r>
  </si>
  <si>
    <r>
      <rPr>
        <sz val="12"/>
        <rFont val="Times New Roman"/>
        <family val="1"/>
      </rPr>
      <t xml:space="preserve">MIDRAZOLE </t>
    </r>
    <r>
      <rPr>
        <sz val="12"/>
        <color rgb="FF4471C4"/>
        <rFont val="Times New Roman"/>
        <family val="1"/>
      </rPr>
      <t>(miconazole)</t>
    </r>
  </si>
  <si>
    <r>
      <rPr>
        <sz val="12"/>
        <rFont val="Times New Roman"/>
        <family val="1"/>
      </rPr>
      <t xml:space="preserve">MAFDIC </t>
    </r>
    <r>
      <rPr>
        <sz val="12"/>
        <color rgb="FF4471C4"/>
        <rFont val="Times New Roman"/>
        <family val="1"/>
      </rPr>
      <t>(Fusidic acid)</t>
    </r>
  </si>
  <si>
    <r>
      <rPr>
        <sz val="12"/>
        <rFont val="Times New Roman"/>
        <family val="1"/>
      </rPr>
      <t xml:space="preserve">MAFTRIM </t>
    </r>
    <r>
      <rPr>
        <sz val="12"/>
        <color rgb="FF4471C4"/>
        <rFont val="Times New Roman"/>
        <family val="1"/>
      </rPr>
      <t>(Clotrimazole)</t>
    </r>
  </si>
  <si>
    <r>
      <rPr>
        <sz val="12"/>
        <rFont val="Times New Roman"/>
        <family val="1"/>
      </rPr>
      <t xml:space="preserve">NOVESTEN </t>
    </r>
    <r>
      <rPr>
        <sz val="12"/>
        <color rgb="FF4471C4"/>
        <rFont val="Times New Roman"/>
        <family val="1"/>
      </rPr>
      <t>(Clotrimazole)</t>
    </r>
  </si>
  <si>
    <r>
      <rPr>
        <sz val="12"/>
        <rFont val="Times New Roman"/>
        <family val="1"/>
      </rPr>
      <t>POLYFAX</t>
    </r>
  </si>
  <si>
    <r>
      <rPr>
        <sz val="12"/>
        <rFont val="Times New Roman"/>
        <family val="1"/>
      </rPr>
      <t xml:space="preserve">SCABFREE </t>
    </r>
    <r>
      <rPr>
        <sz val="12"/>
        <color rgb="FF4471C4"/>
        <rFont val="Times New Roman"/>
        <family val="1"/>
      </rPr>
      <t>(permethrin)</t>
    </r>
  </si>
  <si>
    <r>
      <rPr>
        <sz val="12"/>
        <rFont val="Times New Roman"/>
        <family val="1"/>
      </rPr>
      <t>SKINFAX</t>
    </r>
  </si>
  <si>
    <r>
      <rPr>
        <sz val="12"/>
        <rFont val="Times New Roman"/>
        <family val="1"/>
      </rPr>
      <t xml:space="preserve">XYLOAID </t>
    </r>
    <r>
      <rPr>
        <sz val="12"/>
        <color rgb="FF4471C4"/>
        <rFont val="Times New Roman"/>
        <family val="1"/>
      </rPr>
      <t>(lidocaine)</t>
    </r>
  </si>
  <si>
    <r>
      <rPr>
        <b/>
        <sz val="14"/>
        <rFont val="Times New Roman"/>
        <family val="1"/>
      </rPr>
      <t>SYRUPS</t>
    </r>
  </si>
  <si>
    <r>
      <rPr>
        <sz val="12"/>
        <rFont val="Times New Roman"/>
        <family val="1"/>
      </rPr>
      <t>ABDO-Z</t>
    </r>
  </si>
  <si>
    <r>
      <rPr>
        <sz val="12"/>
        <rFont val="Times New Roman"/>
        <family val="1"/>
      </rPr>
      <t>AUGMENTIN DS</t>
    </r>
  </si>
  <si>
    <r>
      <rPr>
        <sz val="12"/>
        <rFont val="Times New Roman"/>
        <family val="1"/>
      </rPr>
      <t>AMOXIL 125mg</t>
    </r>
  </si>
  <si>
    <r>
      <rPr>
        <sz val="12"/>
        <rFont val="Times New Roman"/>
        <family val="1"/>
      </rPr>
      <t>AMOXIL 250mg</t>
    </r>
  </si>
  <si>
    <r>
      <rPr>
        <sz val="12"/>
        <rFont val="Times New Roman"/>
        <family val="1"/>
      </rPr>
      <t>CITRALKA</t>
    </r>
  </si>
  <si>
    <r>
      <rPr>
        <sz val="12"/>
        <rFont val="Times New Roman"/>
        <family val="1"/>
      </rPr>
      <t>ENTAMIZOLE</t>
    </r>
  </si>
  <si>
    <r>
      <rPr>
        <sz val="12"/>
        <rFont val="Times New Roman"/>
        <family val="1"/>
      </rPr>
      <t>FAMIRON</t>
    </r>
  </si>
  <si>
    <r>
      <rPr>
        <sz val="12"/>
        <rFont val="Times New Roman"/>
        <family val="1"/>
      </rPr>
      <t>FAMVID</t>
    </r>
  </si>
  <si>
    <r>
      <rPr>
        <sz val="12"/>
        <rFont val="Times New Roman"/>
        <family val="1"/>
      </rPr>
      <t>IVA</t>
    </r>
  </si>
  <si>
    <r>
      <rPr>
        <sz val="12"/>
        <rFont val="Times New Roman"/>
        <family val="1"/>
      </rPr>
      <t>KRAZE</t>
    </r>
  </si>
  <si>
    <r>
      <rPr>
        <sz val="12"/>
        <rFont val="Times New Roman"/>
        <family val="1"/>
      </rPr>
      <t>MEDIV</t>
    </r>
  </si>
  <si>
    <r>
      <rPr>
        <sz val="12"/>
        <rFont val="Times New Roman"/>
        <family val="1"/>
      </rPr>
      <t>MULTILIFE</t>
    </r>
  </si>
  <si>
    <r>
      <rPr>
        <sz val="12"/>
        <rFont val="Times New Roman"/>
        <family val="1"/>
      </rPr>
      <t>OREXIM</t>
    </r>
  </si>
  <si>
    <r>
      <rPr>
        <sz val="12"/>
        <rFont val="Times New Roman"/>
        <family val="1"/>
      </rPr>
      <t>OREXIM DS</t>
    </r>
  </si>
  <si>
    <r>
      <rPr>
        <sz val="12"/>
        <rFont val="Times New Roman"/>
        <family val="1"/>
      </rPr>
      <t>PARACETMAOL</t>
    </r>
  </si>
  <si>
    <r>
      <rPr>
        <sz val="12"/>
        <rFont val="Times New Roman"/>
        <family val="1"/>
      </rPr>
      <t>3 cartons</t>
    </r>
  </si>
  <si>
    <r>
      <rPr>
        <sz val="12"/>
        <rFont val="Times New Roman"/>
        <family val="1"/>
      </rPr>
      <t>TUSIN</t>
    </r>
  </si>
  <si>
    <r>
      <rPr>
        <sz val="12"/>
        <rFont val="Times New Roman"/>
        <family val="1"/>
      </rPr>
      <t>VELOSEF 125mg</t>
    </r>
  </si>
  <si>
    <r>
      <rPr>
        <sz val="12"/>
        <rFont val="Times New Roman"/>
        <family val="1"/>
      </rPr>
      <t>VELOSEF 250mg</t>
    </r>
  </si>
  <si>
    <r>
      <rPr>
        <sz val="12"/>
        <rFont val="Times New Roman"/>
        <family val="1"/>
      </rPr>
      <t>ZINKROL</t>
    </r>
  </si>
  <si>
    <r>
      <rPr>
        <sz val="12"/>
        <rFont val="Times New Roman"/>
        <family val="1"/>
      </rPr>
      <t>1 carton</t>
    </r>
  </si>
  <si>
    <r>
      <rPr>
        <b/>
        <sz val="14"/>
        <rFont val="Times New Roman"/>
        <family val="1"/>
      </rPr>
      <t>450ML SYRUPS</t>
    </r>
  </si>
  <si>
    <r>
      <rPr>
        <sz val="12"/>
        <rFont val="Times New Roman"/>
        <family val="1"/>
      </rPr>
      <t>Promethazine</t>
    </r>
  </si>
  <si>
    <r>
      <rPr>
        <sz val="12"/>
        <rFont val="Times New Roman"/>
        <family val="1"/>
      </rPr>
      <t>Colic</t>
    </r>
  </si>
  <si>
    <r>
      <rPr>
        <sz val="12"/>
        <rFont val="Times New Roman"/>
        <family val="1"/>
      </rPr>
      <t>Samodryl</t>
    </r>
  </si>
  <si>
    <r>
      <rPr>
        <sz val="12"/>
        <rFont val="Times New Roman"/>
        <family val="1"/>
      </rPr>
      <t>19+carton</t>
    </r>
  </si>
  <si>
    <r>
      <rPr>
        <sz val="12"/>
        <rFont val="Times New Roman"/>
        <family val="1"/>
      </rPr>
      <t xml:space="preserve">Biniplex </t>
    </r>
    <r>
      <rPr>
        <sz val="12"/>
        <color rgb="FF4471C4"/>
        <rFont val="Times New Roman"/>
        <family val="1"/>
      </rPr>
      <t>(B-Complex)</t>
    </r>
  </si>
  <si>
    <r>
      <rPr>
        <sz val="12"/>
        <rFont val="Times New Roman"/>
        <family val="1"/>
      </rPr>
      <t xml:space="preserve">Regoplex </t>
    </r>
    <r>
      <rPr>
        <sz val="12"/>
        <color rgb="FF4471C4"/>
        <rFont val="Times New Roman"/>
        <family val="1"/>
      </rPr>
      <t>(B-Complex)</t>
    </r>
  </si>
  <si>
    <r>
      <rPr>
        <sz val="12"/>
        <rFont val="Times New Roman"/>
        <family val="1"/>
      </rPr>
      <t>Chloramine</t>
    </r>
  </si>
  <si>
    <r>
      <rPr>
        <sz val="12"/>
        <rFont val="Times New Roman"/>
        <family val="1"/>
      </rPr>
      <t>Samosil</t>
    </r>
  </si>
  <si>
    <r>
      <rPr>
        <sz val="12"/>
        <rFont val="Times New Roman"/>
        <family val="1"/>
      </rPr>
      <t>4+caron</t>
    </r>
  </si>
  <si>
    <r>
      <rPr>
        <sz val="12"/>
        <rFont val="Times New Roman"/>
        <family val="1"/>
      </rPr>
      <t xml:space="preserve">Ural </t>
    </r>
    <r>
      <rPr>
        <sz val="12"/>
        <color rgb="FF4471C4"/>
        <rFont val="Times New Roman"/>
        <family val="1"/>
      </rPr>
      <t>(Sodium Acid Citrate)</t>
    </r>
  </si>
  <si>
    <r>
      <rPr>
        <sz val="12"/>
        <rFont val="Times New Roman"/>
        <family val="1"/>
      </rPr>
      <t xml:space="preserve">Novogel </t>
    </r>
    <r>
      <rPr>
        <sz val="12"/>
        <color rgb="FF4471C4"/>
        <rFont val="Times New Roman"/>
        <family val="1"/>
      </rPr>
      <t>(Aluminia Magnesic Suspension)</t>
    </r>
  </si>
  <si>
    <r>
      <rPr>
        <sz val="12"/>
        <rFont val="Times New Roman"/>
        <family val="1"/>
      </rPr>
      <t xml:space="preserve">Metrozyl </t>
    </r>
    <r>
      <rPr>
        <sz val="12"/>
        <color rgb="FF4471C4"/>
        <rFont val="Times New Roman"/>
        <family val="1"/>
      </rPr>
      <t>(Aluminia Magnesic Suspension)</t>
    </r>
  </si>
  <si>
    <r>
      <rPr>
        <b/>
        <sz val="14"/>
        <rFont val="Times New Roman"/>
        <family val="1"/>
      </rPr>
      <t>SACHETS</t>
    </r>
  </si>
  <si>
    <r>
      <rPr>
        <sz val="12"/>
        <rFont val="Times New Roman"/>
        <family val="1"/>
      </rPr>
      <t>Myo-Inositol</t>
    </r>
  </si>
  <si>
    <r>
      <rPr>
        <sz val="12"/>
        <rFont val="Times New Roman"/>
        <family val="1"/>
      </rPr>
      <t>Cal Cee</t>
    </r>
  </si>
  <si>
    <r>
      <rPr>
        <sz val="12"/>
        <rFont val="Times New Roman"/>
        <family val="1"/>
      </rPr>
      <t>CranMac</t>
    </r>
  </si>
  <si>
    <r>
      <rPr>
        <sz val="12"/>
        <rFont val="Times New Roman"/>
        <family val="1"/>
      </rPr>
      <t>Zetalukast</t>
    </r>
  </si>
  <si>
    <r>
      <rPr>
        <sz val="12"/>
        <rFont val="Times New Roman"/>
        <family val="1"/>
      </rPr>
      <t>ORS</t>
    </r>
  </si>
  <si>
    <r>
      <rPr>
        <sz val="12"/>
        <rFont val="Times New Roman"/>
        <family val="1"/>
      </rPr>
      <t>Genixime</t>
    </r>
  </si>
  <si>
    <r>
      <rPr>
        <sz val="12"/>
        <rFont val="Times New Roman"/>
        <family val="1"/>
      </rPr>
      <t>EfzoCal-C</t>
    </r>
  </si>
  <si>
    <r>
      <rPr>
        <b/>
        <sz val="14"/>
        <rFont val="Times New Roman"/>
        <family val="1"/>
      </rPr>
      <t>EYE DROPS</t>
    </r>
  </si>
  <si>
    <r>
      <rPr>
        <sz val="12"/>
        <rFont val="Times New Roman"/>
        <family val="1"/>
      </rPr>
      <t>Blink fresh</t>
    </r>
  </si>
  <si>
    <r>
      <rPr>
        <sz val="12"/>
        <rFont val="Times New Roman"/>
        <family val="1"/>
      </rPr>
      <t>Tear Plus</t>
    </r>
  </si>
  <si>
    <r>
      <rPr>
        <sz val="12"/>
        <rFont val="Times New Roman"/>
        <family val="1"/>
      </rPr>
      <t>Poly Tears</t>
    </r>
  </si>
  <si>
    <r>
      <rPr>
        <sz val="12"/>
        <rFont val="Times New Roman"/>
        <family val="1"/>
      </rPr>
      <t xml:space="preserve">BFL </t>
    </r>
    <r>
      <rPr>
        <sz val="12"/>
        <color rgb="FF4471C4"/>
        <rFont val="Times New Roman"/>
        <family val="1"/>
      </rPr>
      <t>(Flourometholone)</t>
    </r>
  </si>
  <si>
    <r>
      <rPr>
        <sz val="12"/>
        <rFont val="Times New Roman"/>
        <family val="1"/>
      </rPr>
      <t xml:space="preserve">FML </t>
    </r>
    <r>
      <rPr>
        <sz val="12"/>
        <color rgb="FF4471C4"/>
        <rFont val="Times New Roman"/>
        <family val="1"/>
      </rPr>
      <t>(Flourometholone)</t>
    </r>
  </si>
  <si>
    <r>
      <rPr>
        <sz val="12"/>
        <rFont val="Times New Roman"/>
        <family val="1"/>
      </rPr>
      <t xml:space="preserve">Hyspa </t>
    </r>
    <r>
      <rPr>
        <sz val="12"/>
        <color rgb="FF4471C4"/>
        <rFont val="Times New Roman"/>
        <family val="1"/>
      </rPr>
      <t>(Na Hyaluronate)</t>
    </r>
  </si>
  <si>
    <r>
      <rPr>
        <sz val="12"/>
        <rFont val="Times New Roman"/>
        <family val="1"/>
      </rPr>
      <t>Optitek 0.3%</t>
    </r>
  </si>
  <si>
    <r>
      <rPr>
        <sz val="12"/>
        <rFont val="Times New Roman"/>
        <family val="1"/>
      </rPr>
      <t xml:space="preserve">Nafen </t>
    </r>
    <r>
      <rPr>
        <sz val="12"/>
        <color rgb="FF4471C4"/>
        <rFont val="Times New Roman"/>
        <family val="1"/>
      </rPr>
      <t>(Nepafenac)</t>
    </r>
  </si>
  <si>
    <r>
      <rPr>
        <sz val="12"/>
        <rFont val="Times New Roman"/>
        <family val="1"/>
      </rPr>
      <t xml:space="preserve">Barnep </t>
    </r>
    <r>
      <rPr>
        <sz val="12"/>
        <color rgb="FF4471C4"/>
        <rFont val="Times New Roman"/>
        <family val="1"/>
      </rPr>
      <t>(Nepafenac)</t>
    </r>
  </si>
  <si>
    <r>
      <rPr>
        <b/>
        <sz val="14"/>
        <rFont val="Times New Roman"/>
        <family val="1"/>
      </rPr>
      <t>INJECTIONS</t>
    </r>
  </si>
  <si>
    <r>
      <rPr>
        <sz val="12"/>
        <rFont val="Times New Roman"/>
        <family val="1"/>
      </rPr>
      <t>Adfenac</t>
    </r>
  </si>
  <si>
    <r>
      <rPr>
        <sz val="12"/>
        <rFont val="Times New Roman"/>
        <family val="1"/>
      </rPr>
      <t xml:space="preserve">26 boxes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</si>
  <si>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>Adicovil</t>
    </r>
  </si>
  <si>
    <r>
      <rPr>
        <sz val="12"/>
        <rFont val="Times New Roman"/>
        <family val="1"/>
      </rPr>
      <t xml:space="preserve">4 boxes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</si>
  <si>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 xml:space="preserve">Aldron </t>
    </r>
    <r>
      <rPr>
        <sz val="12"/>
        <color rgb="FF4471C4"/>
        <rFont val="Times New Roman"/>
        <family val="1"/>
      </rPr>
      <t>(Dexamethasone)</t>
    </r>
  </si>
  <si>
    <r>
      <rPr>
        <sz val="12"/>
        <rFont val="Times New Roman"/>
        <family val="1"/>
      </rPr>
      <t xml:space="preserve">26 boxes
</t>
    </r>
    <r>
      <rPr>
        <sz val="12"/>
        <rFont val="Times New Roman"/>
        <family val="1"/>
      </rPr>
      <t>(25 each)</t>
    </r>
  </si>
  <si>
    <r>
      <rPr>
        <sz val="12"/>
        <rFont val="Times New Roman"/>
        <family val="1"/>
      </rPr>
      <t>Amcobal</t>
    </r>
  </si>
  <si>
    <r>
      <rPr>
        <sz val="12"/>
        <rFont val="Times New Roman"/>
        <family val="1"/>
      </rPr>
      <t xml:space="preserve">1 box
</t>
    </r>
    <r>
      <rPr>
        <sz val="12"/>
        <rFont val="Times New Roman"/>
        <family val="1"/>
      </rPr>
      <t>(10 each)</t>
    </r>
  </si>
  <si>
    <r>
      <rPr>
        <sz val="12"/>
        <rFont val="Times New Roman"/>
        <family val="1"/>
      </rPr>
      <t xml:space="preserve">Amcyno </t>
    </r>
    <r>
      <rPr>
        <sz val="12"/>
        <color rgb="FF4471C4"/>
        <rFont val="Times New Roman"/>
        <family val="1"/>
      </rPr>
      <t>(Vit B)</t>
    </r>
  </si>
  <si>
    <r>
      <rPr>
        <sz val="12"/>
        <rFont val="Times New Roman"/>
        <family val="1"/>
      </rPr>
      <t xml:space="preserve">6 box
</t>
    </r>
    <r>
      <rPr>
        <sz val="12"/>
        <rFont val="Times New Roman"/>
        <family val="1"/>
      </rPr>
      <t>(25 each)</t>
    </r>
  </si>
  <si>
    <r>
      <rPr>
        <sz val="12"/>
        <rFont val="Times New Roman"/>
        <family val="1"/>
      </rPr>
      <t xml:space="preserve">Amroplex </t>
    </r>
    <r>
      <rPr>
        <sz val="12"/>
        <color rgb="FF4471C4"/>
        <rFont val="Times New Roman"/>
        <family val="1"/>
      </rPr>
      <t>(Vit B)</t>
    </r>
  </si>
  <si>
    <r>
      <rPr>
        <sz val="12"/>
        <rFont val="Times New Roman"/>
        <family val="1"/>
      </rPr>
      <t xml:space="preserve">5 box
</t>
    </r>
    <r>
      <rPr>
        <sz val="12"/>
        <rFont val="Times New Roman"/>
        <family val="1"/>
      </rPr>
      <t>(25 each)</t>
    </r>
  </si>
  <si>
    <r>
      <rPr>
        <sz val="12"/>
        <rFont val="Times New Roman"/>
        <family val="1"/>
      </rPr>
      <t>Dexamethasone</t>
    </r>
  </si>
  <si>
    <r>
      <rPr>
        <sz val="12"/>
        <rFont val="Times New Roman"/>
        <family val="1"/>
      </rPr>
      <t xml:space="preserve">3 box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</si>
  <si>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>Dexamethasone imported</t>
    </r>
  </si>
  <si>
    <r>
      <rPr>
        <sz val="12"/>
        <rFont val="Times New Roman"/>
        <family val="1"/>
      </rPr>
      <t xml:space="preserve">6 boxes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</si>
  <si>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>Gentamicin</t>
    </r>
  </si>
  <si>
    <r>
      <rPr>
        <sz val="12"/>
        <rFont val="Times New Roman"/>
        <family val="1"/>
      </rPr>
      <t xml:space="preserve">1 box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</si>
  <si>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>Lincomycin</t>
    </r>
  </si>
  <si>
    <r>
      <rPr>
        <sz val="12"/>
        <rFont val="Times New Roman"/>
        <family val="1"/>
      </rPr>
      <t xml:space="preserve">5 boxes
</t>
    </r>
    <r>
      <rPr>
        <sz val="12"/>
        <rFont val="Times New Roman"/>
        <family val="1"/>
      </rPr>
      <t>(5 each)</t>
    </r>
  </si>
  <si>
    <r>
      <rPr>
        <sz val="12"/>
        <rFont val="Times New Roman"/>
        <family val="1"/>
      </rPr>
      <t>New-D (Vit D3)</t>
    </r>
  </si>
  <si>
    <r>
      <rPr>
        <sz val="12"/>
        <rFont val="Times New Roman"/>
        <family val="1"/>
      </rPr>
      <t xml:space="preserve">8 boxes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</si>
  <si>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>Vit D3</t>
    </r>
  </si>
  <si>
    <r>
      <rPr>
        <sz val="12"/>
        <rFont val="Times New Roman"/>
        <family val="1"/>
      </rPr>
      <t xml:space="preserve">2 boxes
</t>
    </r>
    <r>
      <rPr>
        <sz val="12"/>
        <rFont val="Times New Roman"/>
        <family val="1"/>
      </rPr>
      <t>(100 each)</t>
    </r>
  </si>
  <si>
    <r>
      <rPr>
        <sz val="12"/>
        <rFont val="Times New Roman"/>
        <family val="1"/>
      </rPr>
      <t xml:space="preserve">Spa-Nil </t>
    </r>
    <r>
      <rPr>
        <sz val="12"/>
        <color rgb="FF4471C4"/>
        <rFont val="Times New Roman"/>
        <family val="1"/>
      </rPr>
      <t>(Drotaverin HCl)</t>
    </r>
  </si>
  <si>
    <r>
      <rPr>
        <sz val="12"/>
        <rFont val="Times New Roman"/>
        <family val="1"/>
      </rPr>
      <t xml:space="preserve">3 boxes
</t>
    </r>
    <r>
      <rPr>
        <sz val="12"/>
        <rFont val="Times New Roman"/>
        <family val="1"/>
      </rPr>
      <t>(25 each)</t>
    </r>
  </si>
  <si>
    <r>
      <rPr>
        <sz val="12"/>
        <rFont val="Times New Roman"/>
        <family val="1"/>
      </rPr>
      <t>Preazit-L</t>
    </r>
  </si>
  <si>
    <r>
      <rPr>
        <sz val="12"/>
        <rFont val="Times New Roman"/>
        <family val="1"/>
      </rPr>
      <t xml:space="preserve">9 boxes
</t>
    </r>
    <r>
      <rPr>
        <sz val="12"/>
        <rFont val="Times New Roman"/>
        <family val="1"/>
      </rPr>
      <t>(100 each)</t>
    </r>
  </si>
  <si>
    <r>
      <rPr>
        <b/>
        <sz val="14"/>
        <rFont val="Times New Roman"/>
        <family val="1"/>
      </rPr>
      <t>TABLETS (BOX OF 1000)</t>
    </r>
  </si>
  <si>
    <t>DESCRIPTION</t>
  </si>
  <si>
    <t>QTY</t>
  </si>
  <si>
    <t>COMPOSITION</t>
  </si>
  <si>
    <t>TYPE</t>
  </si>
  <si>
    <t>CREAM</t>
  </si>
  <si>
    <t>CATEGORY</t>
  </si>
  <si>
    <t>OPENING</t>
  </si>
  <si>
    <t>BETADERM</t>
  </si>
  <si>
    <t>CLOTRIMAZOLE</t>
  </si>
  <si>
    <t>S#</t>
  </si>
  <si>
    <t>MICONAZOLE</t>
  </si>
  <si>
    <t>DAKTARIN GEL</t>
  </si>
  <si>
    <t>DEXA-N</t>
  </si>
  <si>
    <t>FUDINAC</t>
  </si>
  <si>
    <t xml:space="preserve">KANDEX-N </t>
  </si>
  <si>
    <t xml:space="preserve">MIDRAZOLE </t>
  </si>
  <si>
    <t xml:space="preserve">MAFDIC </t>
  </si>
  <si>
    <t>MAFTRIM</t>
  </si>
  <si>
    <t xml:space="preserve">NOVESTEN </t>
  </si>
  <si>
    <t>SCABFREE</t>
  </si>
  <si>
    <t xml:space="preserve">XYLOAID </t>
  </si>
  <si>
    <t>GEL</t>
  </si>
  <si>
    <t>CLOTRIM</t>
  </si>
  <si>
    <t>FUSIDIC-H</t>
  </si>
  <si>
    <t>DEXAMETHASONE + NEOMYCIN</t>
  </si>
  <si>
    <t>FUSIDIC ACID + BETAMETHASONE VALERATE</t>
  </si>
  <si>
    <t>FUSIDIC ACID + BETHAMETHASONE VALERATE</t>
  </si>
  <si>
    <t>FUSIDIC ACID</t>
  </si>
  <si>
    <t>PERMETHRIN</t>
  </si>
  <si>
    <t>LIDOCAINE</t>
  </si>
  <si>
    <t>SKINFAX</t>
  </si>
  <si>
    <t>POLYFAX</t>
  </si>
  <si>
    <t>ABDO-Z</t>
  </si>
  <si>
    <t>AUGMENTIN DS</t>
  </si>
  <si>
    <t>AMOXIL 125mg</t>
  </si>
  <si>
    <t>AMOXIL 250mg</t>
  </si>
  <si>
    <t>CITRALKA</t>
  </si>
  <si>
    <t>ENTAMIZOLE</t>
  </si>
  <si>
    <t>FAMIRON</t>
  </si>
  <si>
    <t>FAMVID</t>
  </si>
  <si>
    <t xml:space="preserve">IVA </t>
  </si>
  <si>
    <t>KRAZE</t>
  </si>
  <si>
    <t>MEDIV</t>
  </si>
  <si>
    <t>MULTILIFE</t>
  </si>
  <si>
    <t>OREXIM</t>
  </si>
  <si>
    <t>OREXIM DS</t>
  </si>
  <si>
    <t>PARACETMAOL</t>
  </si>
  <si>
    <t>TUSIN</t>
  </si>
  <si>
    <t>VELOSEF 125mg</t>
  </si>
  <si>
    <t>VELOSEF 250mg</t>
  </si>
  <si>
    <t>ZINKROL</t>
  </si>
  <si>
    <t>SYRUP</t>
  </si>
  <si>
    <t>PROMETHAZINE</t>
  </si>
  <si>
    <t>COLIC</t>
  </si>
  <si>
    <t>SAMODRYL</t>
  </si>
  <si>
    <t>ORS</t>
  </si>
  <si>
    <t>SACHET</t>
  </si>
  <si>
    <t>EYE DROP</t>
  </si>
  <si>
    <t>MEFANAMIC ACID</t>
  </si>
  <si>
    <t xml:space="preserve">BINIPLEX </t>
  </si>
  <si>
    <t>REGOPLEX</t>
  </si>
  <si>
    <t xml:space="preserve">CHLORAMINE </t>
  </si>
  <si>
    <t xml:space="preserve">URAL </t>
  </si>
  <si>
    <t xml:space="preserve">NOVOGEL </t>
  </si>
  <si>
    <t xml:space="preserve">METROZYL </t>
  </si>
  <si>
    <t>MYO-INOSITOL</t>
  </si>
  <si>
    <t>CAL CEE</t>
  </si>
  <si>
    <t>CRANMAC</t>
  </si>
  <si>
    <t>ZETALUKAST</t>
  </si>
  <si>
    <t>GENIXIME</t>
  </si>
  <si>
    <t>EFZOCAL-C</t>
  </si>
  <si>
    <t xml:space="preserve">BLINK FRESH </t>
  </si>
  <si>
    <t xml:space="preserve">OPTITEK 0.3% </t>
  </si>
  <si>
    <t xml:space="preserve">BFL </t>
  </si>
  <si>
    <t>NEPAFENAC</t>
  </si>
  <si>
    <t>FLOUROMETHOLONE</t>
  </si>
  <si>
    <t>TABLET</t>
  </si>
  <si>
    <t>PARACETAMOL</t>
  </si>
  <si>
    <t>CALCIUM LACTATE</t>
  </si>
  <si>
    <t>BECOPAN</t>
  </si>
  <si>
    <t>B COMPLEX</t>
  </si>
  <si>
    <t>SODA MINT</t>
  </si>
  <si>
    <t>SODIUM BICARBONATE</t>
  </si>
  <si>
    <t>ASCORBIC ACID</t>
  </si>
  <si>
    <t>CHLORPHENIRAMINE</t>
  </si>
  <si>
    <t>FOLIC ACID</t>
  </si>
  <si>
    <t>IBRUFEN</t>
  </si>
  <si>
    <t>IBUPROFEN</t>
  </si>
  <si>
    <t>PARACEMATOL</t>
  </si>
  <si>
    <t>REGOVIT C</t>
  </si>
  <si>
    <t>VITAMIN C</t>
  </si>
  <si>
    <t>RECADRON</t>
  </si>
  <si>
    <t>DEXAMETHASONE</t>
  </si>
  <si>
    <t>UNEXOLONE</t>
  </si>
  <si>
    <t>METOCLOPRAMIDE</t>
  </si>
  <si>
    <t xml:space="preserve">NAFEN </t>
  </si>
  <si>
    <t>ANSAID</t>
  </si>
  <si>
    <t>AMOXYCILLIN 250MG</t>
  </si>
  <si>
    <t>AMOXYCILLIN 500MG</t>
  </si>
  <si>
    <t>ASCARD</t>
  </si>
  <si>
    <t>AREX</t>
  </si>
  <si>
    <t>ATENOPHARM 50MG</t>
  </si>
  <si>
    <t>ATENOPHARM 100MG</t>
  </si>
  <si>
    <t>AMOXIPEN 500MG</t>
  </si>
  <si>
    <t>JENVAL 5MG</t>
  </si>
  <si>
    <t>JENVAL 10MG</t>
  </si>
  <si>
    <t>M-END</t>
  </si>
  <si>
    <t>ZENTEL</t>
  </si>
  <si>
    <t>REX</t>
  </si>
  <si>
    <t>LORGY 10MG</t>
  </si>
  <si>
    <t>LORGY-D 5MG</t>
  </si>
  <si>
    <t>CIBA DOXY</t>
  </si>
  <si>
    <t>GLUCOMIN 500MG</t>
  </si>
  <si>
    <t>GLUMET 500MG</t>
  </si>
  <si>
    <t>GLOW 2MG</t>
  </si>
  <si>
    <t>SITA CRAFT</t>
  </si>
  <si>
    <t>MUSE-K 10MG</t>
  </si>
  <si>
    <t>MYOKAST 10MG</t>
  </si>
  <si>
    <t>DROTALIS</t>
  </si>
  <si>
    <t>DENZEN DS</t>
  </si>
  <si>
    <t>PULSE NEM</t>
  </si>
  <si>
    <t>NYMESSO</t>
  </si>
  <si>
    <t>VOLNAC</t>
  </si>
  <si>
    <t>BEFLAM</t>
  </si>
  <si>
    <t>DINCLOR</t>
  </si>
  <si>
    <t>DICO-SR</t>
  </si>
  <si>
    <t>ELINGTON</t>
  </si>
  <si>
    <t>NEUROBION</t>
  </si>
  <si>
    <t>TREMOMED</t>
  </si>
  <si>
    <t>GETRYL 2MG</t>
  </si>
  <si>
    <t xml:space="preserve">GETRYL 4MG </t>
  </si>
  <si>
    <t>TRAPRAMOL</t>
  </si>
  <si>
    <t>EPHANAX</t>
  </si>
  <si>
    <t>FLUSAID</t>
  </si>
  <si>
    <t>BYLO</t>
  </si>
  <si>
    <t>NORVASC</t>
  </si>
  <si>
    <t>FIORE-F</t>
  </si>
  <si>
    <t>PALZIC</t>
  </si>
  <si>
    <t>ILARIO</t>
  </si>
  <si>
    <t>DOXYCYCLINE</t>
  </si>
  <si>
    <t>MECOBALAMINE</t>
  </si>
  <si>
    <t>MULTIVITAMIN</t>
  </si>
  <si>
    <t>MAFDAM</t>
  </si>
  <si>
    <t>OXYTETRACYCLINE</t>
  </si>
  <si>
    <t>BISACODYL</t>
  </si>
  <si>
    <t>COZOLE</t>
  </si>
  <si>
    <t>LINK-D</t>
  </si>
  <si>
    <t>LOPIUM</t>
  </si>
  <si>
    <t>PRIMULOT-N</t>
  </si>
  <si>
    <t>METGYL 400MG</t>
  </si>
  <si>
    <t>VOMISTOP</t>
  </si>
  <si>
    <t>FEFOL VIT</t>
  </si>
  <si>
    <t>P-ORPH</t>
  </si>
  <si>
    <t>CLAMENTIN DS</t>
  </si>
  <si>
    <t>NOVOMAX 500MG</t>
  </si>
  <si>
    <t>CAPSULE</t>
  </si>
  <si>
    <t>SIZZLE</t>
  </si>
  <si>
    <t>KEINEZ 50/500MG</t>
  </si>
  <si>
    <t>Z-CIPRO 500MG</t>
  </si>
  <si>
    <t>Z-CIPRO 250MG</t>
  </si>
  <si>
    <t>CIPROHEIM 250MG</t>
  </si>
  <si>
    <t>CIPRONET 500MG</t>
  </si>
  <si>
    <t>CIPACT 250MG</t>
  </si>
  <si>
    <t>OMEALL 40MG</t>
  </si>
  <si>
    <t>NAFZOLE 40MG</t>
  </si>
  <si>
    <t>BENZIN 40MG</t>
  </si>
  <si>
    <t>ARCOMOX 250MG</t>
  </si>
  <si>
    <t xml:space="preserve">SANGOBION </t>
  </si>
  <si>
    <t>AZIZOX 500MG</t>
  </si>
  <si>
    <t>ZIMY 500MG</t>
  </si>
  <si>
    <t>XIMBACT 200MG</t>
  </si>
  <si>
    <t>XIMBACT 400MG</t>
  </si>
  <si>
    <t>COOVER 400MG</t>
  </si>
  <si>
    <t>ORTIZIN 10MG</t>
  </si>
  <si>
    <t xml:space="preserve">ADFENAC </t>
  </si>
  <si>
    <t xml:space="preserve">ADICOVIL </t>
  </si>
  <si>
    <t>AMCOBAL</t>
  </si>
  <si>
    <t xml:space="preserve">DEXAMETHASONE IMPORTED </t>
  </si>
  <si>
    <t>GENTAMICIN</t>
  </si>
  <si>
    <t>LINCOMYCIN</t>
  </si>
  <si>
    <t>VIT D3</t>
  </si>
  <si>
    <t>PREAZIT-L</t>
  </si>
  <si>
    <t>VIT B</t>
  </si>
  <si>
    <t>DROTAVERIN HCL</t>
  </si>
  <si>
    <t xml:space="preserve">ALDRON </t>
  </si>
  <si>
    <t xml:space="preserve">AMCYNO </t>
  </si>
  <si>
    <t xml:space="preserve">AMROPLEX </t>
  </si>
  <si>
    <t>NEW-D</t>
  </si>
  <si>
    <t xml:space="preserve">SPA-NIL </t>
  </si>
  <si>
    <t>INJECTION</t>
  </si>
  <si>
    <t>IMITET</t>
  </si>
  <si>
    <t>TETANUS</t>
  </si>
  <si>
    <t>POLYVINYL ALCOLOHOL + POVIDONE</t>
  </si>
  <si>
    <t>TOBRAMYCIN</t>
  </si>
  <si>
    <t>CO-AMOXICLAV</t>
  </si>
  <si>
    <t>AMOXICILLIN</t>
  </si>
  <si>
    <t>DISODIUM HYDROGEN CITRATE</t>
  </si>
  <si>
    <t>DILOXANIDE FUROATE/METRONIDAZOLE BENZOATE</t>
  </si>
  <si>
    <t>IRON BISGLYCINATE + FOLIC ACID</t>
  </si>
  <si>
    <t>MAGNESIUM + CALCIUM + VIT D3</t>
  </si>
  <si>
    <t>AZITHROMYCIN</t>
  </si>
  <si>
    <t>IVY LEAF EXTRACT</t>
  </si>
  <si>
    <t>MULTIVITAMINS + MINERALS</t>
  </si>
  <si>
    <t>CEFIXIME</t>
  </si>
  <si>
    <t>CEPHRADINE</t>
  </si>
  <si>
    <t>ZINC SULPHATE MONOHYDRATE</t>
  </si>
  <si>
    <t>PROMETHAZINE HYDROCHLORIDE</t>
  </si>
  <si>
    <t>AMMONIUM CHLORIDE</t>
  </si>
  <si>
    <t>SODIUM ACID CITRATE</t>
  </si>
  <si>
    <t>ALUMINIA MAGNESIC SUSPENSION</t>
  </si>
  <si>
    <t>B-COMPLEX</t>
  </si>
  <si>
    <t>CARMINATIVE MIXTURE</t>
  </si>
  <si>
    <t>SEMOSIL</t>
  </si>
  <si>
    <t>CHLORPHENIRAMINE MALEATE</t>
  </si>
  <si>
    <t>Al HYDROXIDE, Mg HYDROXIDE + SIMETHICONE</t>
  </si>
  <si>
    <t>D-CHIRO-INISITOL + FOLIC ACID</t>
  </si>
  <si>
    <t>CALCIUM 1000</t>
  </si>
  <si>
    <t>CRANBERRY</t>
  </si>
  <si>
    <t>MONTELUKAST</t>
  </si>
  <si>
    <t>LOW OSMOLAR ORS</t>
  </si>
  <si>
    <t>CALCIUM + VIT C</t>
  </si>
  <si>
    <t>ATENOLOL</t>
  </si>
  <si>
    <t>AMLODIPINE + VALSARTAN</t>
  </si>
  <si>
    <t>ALBENDAZOLE</t>
  </si>
  <si>
    <t>GRAVINATE</t>
  </si>
  <si>
    <t>CETRIZINE HCl</t>
  </si>
  <si>
    <t>FLURBIPROFEN</t>
  </si>
  <si>
    <t>ASPIRIN</t>
  </si>
  <si>
    <t>CETRIZINE 2HCl</t>
  </si>
  <si>
    <t>LORATIDINE</t>
  </si>
  <si>
    <t>DESLORATIDINE</t>
  </si>
  <si>
    <t>METFORMIN HCL</t>
  </si>
  <si>
    <t>GLIMEPRIDE</t>
  </si>
  <si>
    <t>SERRATIOPEPTIDASE</t>
  </si>
  <si>
    <t>NIMSULIDE</t>
  </si>
  <si>
    <t>ANTIDIARRHEAL + ZINC</t>
  </si>
  <si>
    <t>DICLOFENAC SODIUM</t>
  </si>
  <si>
    <t>DICLOFENAC POTASSIUM</t>
  </si>
  <si>
    <t>MICONAZOLE + NEOMYCIN + BETAMETHASONE</t>
  </si>
  <si>
    <t>POLYWORM</t>
  </si>
  <si>
    <t>SITAGLIPTIN + METFORMIN HCL</t>
  </si>
  <si>
    <t>XENOM</t>
  </si>
  <si>
    <t>NORETHISTERONE</t>
  </si>
  <si>
    <t>AMLODIPINE BESYLATE</t>
  </si>
  <si>
    <t>TRAMADOL + PARACETAMOL</t>
  </si>
  <si>
    <t>FEXOFENADINE</t>
  </si>
  <si>
    <t>TRAMADOL HCL</t>
  </si>
  <si>
    <t>NAPROXEN SODIUM</t>
  </si>
  <si>
    <t>L-GLUTATHIONE</t>
  </si>
  <si>
    <t>IRON + POLYMALTOSE COMPLEX + FOLIC ACID</t>
  </si>
  <si>
    <t>MOXIFLOXACIN</t>
  </si>
  <si>
    <t>METRONIDAZOLE</t>
  </si>
  <si>
    <t>DOMPERIDONE</t>
  </si>
  <si>
    <t>PARACETAMOL + ORPHENADRINE CITRATE</t>
  </si>
  <si>
    <t>CIPROFLOXACIN</t>
  </si>
  <si>
    <t>CETIRIZINE DIHYDROCHLORIDE</t>
  </si>
  <si>
    <t>VIT B1, B6, B12</t>
  </si>
  <si>
    <t>ARTEMETHER/ LUMEFANTRINE</t>
  </si>
  <si>
    <t>IRON + B COMPLEX</t>
  </si>
  <si>
    <t>FLUCONAZOLE</t>
  </si>
  <si>
    <t>VITAMIN D</t>
  </si>
  <si>
    <t>LOPERAMIDE</t>
  </si>
  <si>
    <t>IRON + VITAMINS + FOLIC ACID</t>
  </si>
  <si>
    <t>DULOXETINE</t>
  </si>
  <si>
    <t>OMEPRAZOLE</t>
  </si>
  <si>
    <t>OXYTETRACYCLINE DIHYDRATE</t>
  </si>
  <si>
    <t>TRANEXAMIC ACID</t>
  </si>
  <si>
    <t>TRANCID</t>
  </si>
  <si>
    <t>GENTICYN</t>
  </si>
  <si>
    <t>DAFLON 500MG</t>
  </si>
  <si>
    <t>MICRONIAZID, PURIFIED FLAVONOID FRACTION</t>
  </si>
  <si>
    <t>SAFEPRAM 10MG</t>
  </si>
  <si>
    <t>ESCITALOPRAM</t>
  </si>
  <si>
    <t>COLDREX</t>
  </si>
  <si>
    <t>PARACETAMOL, DETROMETHORPHAN, CHLORPHENIRAMINE</t>
  </si>
  <si>
    <t>AMLIS 10 MG</t>
  </si>
  <si>
    <t>FEXOFAX 60MG</t>
  </si>
  <si>
    <t>PHENIRAMINE MALEATE</t>
  </si>
  <si>
    <t>DIMENHYDRINATE</t>
  </si>
  <si>
    <t>TRANSAMIN</t>
  </si>
  <si>
    <t>DATE</t>
  </si>
  <si>
    <t>RECEIPT</t>
  </si>
  <si>
    <t>ISSUANCE</t>
  </si>
  <si>
    <t>BALANCE</t>
  </si>
  <si>
    <t>DESCRIPTION2</t>
  </si>
  <si>
    <t>S #</t>
  </si>
  <si>
    <t>ITEM</t>
  </si>
  <si>
    <t>UOM</t>
  </si>
  <si>
    <t>BOX</t>
  </si>
  <si>
    <t>REMARKS</t>
  </si>
  <si>
    <t>KALSOB</t>
  </si>
  <si>
    <t xml:space="preserve">MULTIVITAMINS </t>
  </si>
  <si>
    <t>SOFTIN</t>
  </si>
  <si>
    <t>SUSPENSION</t>
  </si>
  <si>
    <t>GENIXIME DS</t>
  </si>
  <si>
    <t>EPAN 200 MG</t>
  </si>
  <si>
    <t>PANADOL</t>
  </si>
  <si>
    <t>CEFEXIME</t>
  </si>
  <si>
    <t>NEBRA</t>
  </si>
  <si>
    <t>OINTMENT</t>
  </si>
  <si>
    <t>POLYFAX EYE</t>
  </si>
  <si>
    <t>MOXIGAN</t>
  </si>
  <si>
    <t>FOUND OLD STOCK</t>
  </si>
  <si>
    <t>STOCK CLEARANCE</t>
  </si>
  <si>
    <t>LORGY D</t>
  </si>
  <si>
    <t>PARACETAMOL TAB</t>
  </si>
  <si>
    <t>FUDINAG</t>
  </si>
  <si>
    <t xml:space="preserve">FUSIDIC ACID </t>
  </si>
  <si>
    <t>EPHARM LABORATORIES</t>
  </si>
  <si>
    <t>CONATE</t>
  </si>
  <si>
    <t>EBSINE</t>
  </si>
  <si>
    <t>PARABELLUM</t>
  </si>
  <si>
    <t>ANACOBIN</t>
  </si>
  <si>
    <t>EBESTINE</t>
  </si>
  <si>
    <t>PARACETAMOL SYRUP</t>
  </si>
  <si>
    <t xml:space="preserve">BRUFEN </t>
  </si>
  <si>
    <t>DUPHALAC</t>
  </si>
  <si>
    <t>LACTULOSE</t>
  </si>
  <si>
    <t>AVIL</t>
  </si>
  <si>
    <t>REVITALE MULTI</t>
  </si>
  <si>
    <t>DUPHASTON</t>
  </si>
  <si>
    <t>DYHYDROGESTERONE</t>
  </si>
  <si>
    <t>INDROP D</t>
  </si>
  <si>
    <t>VITAMIN D3</t>
  </si>
  <si>
    <t>VILGO-D</t>
  </si>
  <si>
    <t>DROP</t>
  </si>
  <si>
    <t>DONATED TO SHED HOSPITAL</t>
  </si>
  <si>
    <t>FEMAX</t>
  </si>
  <si>
    <t>NA FEREDTATE+VIT C+FA</t>
  </si>
  <si>
    <t>EZIDAY DUO</t>
  </si>
  <si>
    <t>AMLODIPINE + LOSARTAN</t>
  </si>
  <si>
    <t>BY WERRICK PHARMA</t>
  </si>
  <si>
    <t>CIDPRO 20 MG</t>
  </si>
  <si>
    <t>DYCLO SR</t>
  </si>
  <si>
    <t>DYCLO P</t>
  </si>
  <si>
    <t>INDOFER PLUS</t>
  </si>
  <si>
    <t>XED 500MG</t>
  </si>
  <si>
    <t>XED 500 INJ</t>
  </si>
  <si>
    <t>BONIDE</t>
  </si>
  <si>
    <t>CA + VIT K + Mg + Zn</t>
  </si>
  <si>
    <t xml:space="preserve">NAVITAS </t>
  </si>
  <si>
    <t>MULTIVITAMINS</t>
  </si>
  <si>
    <t>IRON + FOLIC ACID</t>
  </si>
  <si>
    <t>ONSERON</t>
  </si>
  <si>
    <t>ONDANSETRON HCL</t>
  </si>
  <si>
    <t>BY ABDULLAH BROTHER-INDUS PHARMA</t>
  </si>
  <si>
    <t>BY CENRJY PHARMA</t>
  </si>
  <si>
    <t>BRITANYL</t>
  </si>
  <si>
    <t>TERBUTALINE SULPHATE</t>
  </si>
  <si>
    <t>APIZIT</t>
  </si>
  <si>
    <t>APPETIZER</t>
  </si>
  <si>
    <t xml:space="preserve">H-ZYME </t>
  </si>
  <si>
    <t>ANTACID</t>
  </si>
  <si>
    <t xml:space="preserve">VORCIN </t>
  </si>
  <si>
    <t>AZITHROMYCIN DIHYDRATE</t>
  </si>
  <si>
    <t>VIA ASIM KHALIQUE</t>
  </si>
  <si>
    <t>FERROUS SULPHATE</t>
  </si>
  <si>
    <t>DISPENSED TO ARSHAD KAREEM</t>
  </si>
  <si>
    <t>DONATED BY ARSHAD IQBAL</t>
  </si>
  <si>
    <t>PAID TO DR FABIHA</t>
  </si>
  <si>
    <t>CONATE B</t>
  </si>
  <si>
    <t xml:space="preserve">CONATE HC </t>
  </si>
  <si>
    <t>MONFUSI B</t>
  </si>
  <si>
    <t>MONFUSI HC</t>
  </si>
  <si>
    <t>EPHASEF 125MG</t>
  </si>
  <si>
    <t>EPHASEF 250MG</t>
  </si>
  <si>
    <t>PAGABIN</t>
  </si>
  <si>
    <t xml:space="preserve">LORATLAX </t>
  </si>
  <si>
    <t>MIDROZOLE HC</t>
  </si>
  <si>
    <t>CLOTRIMAZOLE+ BETAMETHASONE+DIPROPIONATE</t>
  </si>
  <si>
    <t>CLOTRIMAZOLE+HYDROCORTISONE+ACETATE DIPROPIONATE</t>
  </si>
  <si>
    <t>FUSIDIC ACID+BETAMETHASONE</t>
  </si>
  <si>
    <t>FUSIDIC ACID+HYDROCORTISONE</t>
  </si>
  <si>
    <t>MICONAZOLE+HYDROCORTISONE</t>
  </si>
  <si>
    <t>PREGABLIN</t>
  </si>
  <si>
    <t>SYNOBERY</t>
  </si>
  <si>
    <t>CENRJY PHARMA</t>
  </si>
  <si>
    <t xml:space="preserve">KANADEX-N </t>
  </si>
  <si>
    <t>AZITHKAR</t>
  </si>
  <si>
    <t xml:space="preserve">MAZE M </t>
  </si>
  <si>
    <t>APPETITE STIMULANT</t>
  </si>
  <si>
    <t>EVION</t>
  </si>
  <si>
    <t>VITAMIN E</t>
  </si>
  <si>
    <t>ASMAX 5MG</t>
  </si>
  <si>
    <t>ASMAX 10MG</t>
  </si>
  <si>
    <t>EPLOPOT</t>
  </si>
  <si>
    <t>FLOCIPRIN 500MG</t>
  </si>
  <si>
    <t>MAZITROM 500MG</t>
  </si>
  <si>
    <t>EPAN 400MG</t>
  </si>
  <si>
    <t>CYSTONE</t>
  </si>
  <si>
    <t>DISCARDED AS EXPIRED</t>
  </si>
  <si>
    <t>MONFUSI</t>
  </si>
  <si>
    <t>PREMADOL</t>
  </si>
  <si>
    <t>TRAMADOL HCL + PARACETAMOL</t>
  </si>
  <si>
    <t>HERI CRAN</t>
  </si>
  <si>
    <t>AMSON PHARMA</t>
  </si>
  <si>
    <t>DISPENSED FOR HINA'S MOTHER</t>
  </si>
  <si>
    <t>BAKAL</t>
  </si>
  <si>
    <t>IRON BISGLYCINATE + L-METHYLFOLATE</t>
  </si>
  <si>
    <t>PREVENT</t>
  </si>
  <si>
    <t>TINIDAZOLE</t>
  </si>
  <si>
    <t>ENVEPE</t>
  </si>
  <si>
    <t>DOXYLAMINE + PYRIDOXINE</t>
  </si>
  <si>
    <t>INJ MECOBALAMINE</t>
  </si>
  <si>
    <t>DISTRIBUTOR OF ARSHAD IQBAL</t>
  </si>
  <si>
    <t>AZIZOX 250MG</t>
  </si>
  <si>
    <t>GENEXIME</t>
  </si>
  <si>
    <t xml:space="preserve">ARINAC FORTE </t>
  </si>
  <si>
    <t>IBUPROFEN + PSEUDOEPHEDRINE</t>
  </si>
  <si>
    <t>MEDIGESIC FORTE</t>
  </si>
  <si>
    <t>IPRIDE SR</t>
  </si>
  <si>
    <t>ITOPRIDE HYDROCHLORIDE</t>
  </si>
  <si>
    <t>PREGNUM</t>
  </si>
  <si>
    <t>LASTOLIP EZ 10/10</t>
  </si>
  <si>
    <t>ATORVASTATIN, EZETIMIBE</t>
  </si>
  <si>
    <t>LASTOLIP EZ 10/20</t>
  </si>
  <si>
    <t>ZINISH</t>
  </si>
  <si>
    <t>CALCIUM, VITAMIN, MINERALS</t>
  </si>
  <si>
    <t>BENZIM 20MG</t>
  </si>
  <si>
    <t>ARTEBLAX L DS</t>
  </si>
  <si>
    <t>FANAMED 60MG</t>
  </si>
  <si>
    <t>NEOCOBAL</t>
  </si>
  <si>
    <t>EPLOPOT 75MG</t>
  </si>
  <si>
    <t xml:space="preserve">MIDROZOLE </t>
  </si>
  <si>
    <t>FOLIC ACID 1000</t>
  </si>
  <si>
    <t>CAP AMOXIL 500MG</t>
  </si>
  <si>
    <t>CONSUMED IN CAMP</t>
  </si>
  <si>
    <t>CAP VERICEF 500MG</t>
  </si>
  <si>
    <t>CAP EPHASEF 500MG</t>
  </si>
  <si>
    <t>CHLORAMINE TAB</t>
  </si>
  <si>
    <t>GENIXIME 100MG</t>
  </si>
  <si>
    <t>RESTOCKED</t>
  </si>
  <si>
    <t>REVOCEP-D</t>
  </si>
  <si>
    <t>VIT C, CALCIUM, ZINC</t>
  </si>
  <si>
    <t>HSM</t>
  </si>
  <si>
    <t>PURCHASED FROM LIFELINE</t>
  </si>
  <si>
    <t>MYOFOLIC</t>
  </si>
  <si>
    <t>MYO-INOSITOL + FOLIC ACID</t>
  </si>
  <si>
    <t>XYLOR</t>
  </si>
  <si>
    <t>MIDROZOLE ORAL GEL</t>
  </si>
  <si>
    <t>EPHANAC SR</t>
  </si>
  <si>
    <t>EPHAGENT</t>
  </si>
  <si>
    <t>PRESYS</t>
  </si>
  <si>
    <t>CAPROBEX D</t>
  </si>
  <si>
    <t>CALCIUM + VIT D3</t>
  </si>
  <si>
    <t>CALAMOX</t>
  </si>
  <si>
    <t>WELL D</t>
  </si>
  <si>
    <t>VITO DC</t>
  </si>
  <si>
    <t>VIT D + CALCIUM</t>
  </si>
  <si>
    <t>ADFENAC</t>
  </si>
  <si>
    <t>WILSHARE PHARMA</t>
  </si>
  <si>
    <t>ACASIA 250MG</t>
  </si>
  <si>
    <t>ACASIA 500MG</t>
  </si>
  <si>
    <t>BACTCID 500MG</t>
  </si>
  <si>
    <t>NEO-KLAR 500MG</t>
  </si>
  <si>
    <t>CLARITHROMYCIN</t>
  </si>
  <si>
    <t>LEVOSULPIRIDE</t>
  </si>
  <si>
    <t>STRIVO 25MG</t>
  </si>
  <si>
    <t>CCL PHARMA</t>
  </si>
  <si>
    <t>MEDICAIDS PHARMA</t>
  </si>
  <si>
    <t>MAZITROM 250MG</t>
  </si>
  <si>
    <t>CITPHARM</t>
  </si>
  <si>
    <t>BETNOPHARM N</t>
  </si>
  <si>
    <t>BETAMETHASONE + NEOMYCIN</t>
  </si>
  <si>
    <t>OBET</t>
  </si>
  <si>
    <t>CLOBETASOL PROPIONATE</t>
  </si>
  <si>
    <t>ANIBRET 250MG</t>
  </si>
  <si>
    <t>TERBINAFINE</t>
  </si>
  <si>
    <t>XOFEA 120MG</t>
  </si>
  <si>
    <t>CIPLET 125MG</t>
  </si>
  <si>
    <t>CIPLET 250MG</t>
  </si>
  <si>
    <t>INDUS PHARMA</t>
  </si>
  <si>
    <t xml:space="preserve">INJ NEUROBION </t>
  </si>
  <si>
    <t>VIT B1+ B6+ B12</t>
  </si>
  <si>
    <t>GLUCOPHAGE 500MG</t>
  </si>
  <si>
    <t>LYSOVIT</t>
  </si>
  <si>
    <t>B-COMPLEX + VIT C</t>
  </si>
  <si>
    <t>PONSTAN FORTE</t>
  </si>
  <si>
    <t>VERMOX 100MG</t>
  </si>
  <si>
    <t>MEBENDAZOLE</t>
  </si>
  <si>
    <t>VERMOX 500MG</t>
  </si>
  <si>
    <t xml:space="preserve">GAVISCON </t>
  </si>
  <si>
    <t>ALGINATE COMPOUND</t>
  </si>
  <si>
    <t>STARCOX</t>
  </si>
  <si>
    <t>ETORICOXIB</t>
  </si>
  <si>
    <t>NORSALINE P</t>
  </si>
  <si>
    <t>NORMAL SALINE</t>
  </si>
  <si>
    <t>CANESTEN VAGINAL CREAM</t>
  </si>
  <si>
    <t>ZALEA</t>
  </si>
  <si>
    <t>LULICONAZOLE</t>
  </si>
  <si>
    <t>SAFEPRAM</t>
  </si>
  <si>
    <t>FAMLOR</t>
  </si>
  <si>
    <t>PROBIOTICS + ZINC</t>
  </si>
  <si>
    <t>CHLORAMINE</t>
  </si>
  <si>
    <t>CENER-D</t>
  </si>
  <si>
    <t>SYRUP ONSERON</t>
  </si>
  <si>
    <t>ONDANSETRON</t>
  </si>
  <si>
    <t>CEF OD</t>
  </si>
  <si>
    <t>DAN D INJECTION</t>
  </si>
  <si>
    <t>KALV</t>
  </si>
  <si>
    <t xml:space="preserve">CALCIUM + VIT D3 +K2 </t>
  </si>
  <si>
    <t>GLUNEX 2MG</t>
  </si>
  <si>
    <t>GLUNEX 4MG</t>
  </si>
  <si>
    <t>VALPHARM 5/80</t>
  </si>
  <si>
    <t>AMLODIPINE+VALSARTAN</t>
  </si>
  <si>
    <t>VALPHARM 5/160</t>
  </si>
  <si>
    <t>SITAMIN 50/500</t>
  </si>
  <si>
    <t>SITAMIN 50/1000</t>
  </si>
  <si>
    <t>EPTRIM DS 40/240</t>
  </si>
  <si>
    <t>SYRUP ACASIA 200MG</t>
  </si>
  <si>
    <t>CALPOL</t>
  </si>
  <si>
    <t>BRUFEN 450ML</t>
  </si>
  <si>
    <t>POLYMALT</t>
  </si>
  <si>
    <t>IRON POLYMALTOSE</t>
  </si>
  <si>
    <t>MALTOFER</t>
  </si>
  <si>
    <t>MALTOFER DROPS</t>
  </si>
  <si>
    <t xml:space="preserve">HISTAZOLINE </t>
  </si>
  <si>
    <t>CROMOGLYCATE TETRAHYDROZOLINE</t>
  </si>
  <si>
    <t>AMROVIL</t>
  </si>
  <si>
    <t>NORCID</t>
  </si>
  <si>
    <t>LEDERPLEX</t>
  </si>
  <si>
    <t>VITAMIN B COMPLEC</t>
  </si>
  <si>
    <t>PEPTIBAN</t>
  </si>
  <si>
    <t>FAMOTIDINE</t>
  </si>
  <si>
    <t>CALAMINE LOTION</t>
  </si>
  <si>
    <t>CALAMINE</t>
  </si>
  <si>
    <t>LOTION</t>
  </si>
  <si>
    <t>CAP AMOXIL 250MG</t>
  </si>
  <si>
    <t>NEBRA DROPS</t>
  </si>
  <si>
    <t>BRUFEN</t>
  </si>
  <si>
    <t>METGYL</t>
  </si>
  <si>
    <t>CONZYME</t>
  </si>
  <si>
    <t>SALISTA</t>
  </si>
  <si>
    <t>CA+ VIT D3 +K2</t>
  </si>
  <si>
    <t>ZEGLOPIN 5MG</t>
  </si>
  <si>
    <t>ZEGLOPIN 10MG</t>
  </si>
  <si>
    <t>ZEGLOPIN V 10/160</t>
  </si>
  <si>
    <t>ZEGLOPIN V 5/80</t>
  </si>
  <si>
    <t>ASIAN CONTINENTAL</t>
  </si>
  <si>
    <t>PATIENT</t>
  </si>
  <si>
    <t>EDOM</t>
  </si>
  <si>
    <t>DXCYNE</t>
  </si>
  <si>
    <t>RELAXOFEN</t>
  </si>
  <si>
    <t>EPHADEX N</t>
  </si>
  <si>
    <t>DEXAMETHASONE+NEOMYCIN</t>
  </si>
  <si>
    <t>ZEGLOPIN V 5/160</t>
  </si>
  <si>
    <t>RETURNED AS WRONG STRENGTH</t>
  </si>
  <si>
    <t>EZIDAY DUO 5/100</t>
  </si>
  <si>
    <t>WERRICK PHARMA</t>
  </si>
  <si>
    <t>TAB ANACOBIN</t>
  </si>
  <si>
    <t>ABDULLAH BROTHERS</t>
  </si>
  <si>
    <t>FOR PATIENT</t>
  </si>
  <si>
    <t>EXP: 03/26</t>
  </si>
  <si>
    <t>EXP: 08/26</t>
  </si>
  <si>
    <t>EXP: 12/26</t>
  </si>
  <si>
    <t>EXP: 05/27</t>
  </si>
  <si>
    <t>EXP: 08/27</t>
  </si>
  <si>
    <t>EXP: 10/27</t>
  </si>
  <si>
    <t>EXP: 11/27</t>
  </si>
  <si>
    <t>EXP: 09/27</t>
  </si>
  <si>
    <t>EXP: 04/26</t>
  </si>
  <si>
    <t>EXP: 05/26</t>
  </si>
  <si>
    <t>EXP: 10/26</t>
  </si>
  <si>
    <t>EXP: 09/26</t>
  </si>
  <si>
    <t>EXP: 06/26</t>
  </si>
  <si>
    <t>EXP: 11/26</t>
  </si>
  <si>
    <t>EXP: 03/27</t>
  </si>
  <si>
    <t>EXP: 02/27</t>
  </si>
  <si>
    <t>LIFELINE HOSPITAL</t>
  </si>
  <si>
    <t>FAMILY CURE PHARMA</t>
  </si>
  <si>
    <t>MULTIBAN A DROPS</t>
  </si>
  <si>
    <t>DROPS</t>
  </si>
  <si>
    <t>TRANSAMIN CAP</t>
  </si>
  <si>
    <t>FLAGYL</t>
  </si>
  <si>
    <t>CLINDA</t>
  </si>
  <si>
    <t>CLINDAMYCIN</t>
  </si>
  <si>
    <t>O MIDE</t>
  </si>
  <si>
    <t>EPHAROX BX</t>
  </si>
  <si>
    <t>PIROXICAM B-CYCLODEXTRIN</t>
  </si>
  <si>
    <t>GSK</t>
  </si>
  <si>
    <t>DONATED TO SHED</t>
  </si>
  <si>
    <t>APPICAL</t>
  </si>
  <si>
    <t>VIT D3 + Mg + Zn</t>
  </si>
  <si>
    <t>INJ. DANSET</t>
  </si>
  <si>
    <t>DANSET TAB</t>
  </si>
  <si>
    <t>APPLE JOHN PHARMA</t>
  </si>
  <si>
    <t>SYP LORGY D</t>
  </si>
  <si>
    <t>FEVEREN</t>
  </si>
  <si>
    <t>ABDULLAH BROTHERS (SOIS PHARMA)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</si>
</sst>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[$-409]dd\-mmm\-yy;@"/>
  </numFmts>
  <fonts count="27" x14ac:knownFonts="1">
    <font>
      <sz val="10"/>
      <color rgb="FF000000"/>
      <name val="Times New Roman"/>
      <charset val="204"/>
    </font>
    <font>
      <b/>
      <sz val="16"/>
      <name val="Times New Roman"/>
    </font>
    <font>
      <sz val="12"/>
      <name val="Times New Roman"/>
    </font>
    <font>
      <b/>
      <sz val="14"/>
      <name val="Times New Roman"/>
    </font>
    <font>
      <sz val="12"/>
      <color rgb="FF000000"/>
      <name val="Times New Roman"/>
      <family val="2"/>
    </font>
    <font>
      <b/>
      <u/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rgb="FF4471C4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4"/>
      <name val="Times New Roman"/>
      <family val="1"/>
    </font>
    <font>
      <sz val="10"/>
      <color theme="4"/>
      <name val="Times New Roman"/>
      <family val="1"/>
    </font>
    <font>
      <sz val="10"/>
      <color rgb="FF4471C4"/>
      <name val="Times New Roman"/>
      <family val="1"/>
    </font>
    <font>
      <sz val="11"/>
      <color theme="4"/>
      <name val="Times New Roman"/>
      <family val="1"/>
    </font>
    <font>
      <sz val="9"/>
      <color theme="4"/>
      <name val="Times New Roman"/>
      <family val="1"/>
    </font>
    <font>
      <b/>
      <sz val="12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  <charset val="204"/>
    </font>
    <font>
      <b/>
      <sz val="1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  <charset val="204"/>
    </font>
    <font>
      <sz val="9"/>
      <color rgb="FF02010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A0A0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64" fontId="4" fillId="0" borderId="1" xfId="0" applyNumberFormat="1" applyFont="1" applyFill="1" applyBorder="1" applyAlignment="1">
      <alignment horizontal="left" vertical="top" indent="3" shrinkToFit="1"/>
    </xf>
    <xf numFmtId="1" fontId="4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top"/>
    </xf>
    <xf numFmtId="1" fontId="10" fillId="0" borderId="5" xfId="0" applyNumberFormat="1" applyFont="1" applyFill="1" applyBorder="1" applyAlignment="1">
      <alignment horizontal="center" vertical="top" shrinkToFit="1"/>
    </xf>
    <xf numFmtId="0" fontId="10" fillId="0" borderId="5" xfId="0" applyFont="1" applyFill="1" applyBorder="1" applyAlignment="1">
      <alignment horizontal="center" vertical="top"/>
    </xf>
    <xf numFmtId="0" fontId="12" fillId="0" borderId="5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/>
    </xf>
    <xf numFmtId="0" fontId="14" fillId="0" borderId="5" xfId="0" applyFont="1" applyFill="1" applyBorder="1" applyAlignment="1">
      <alignment horizontal="left" vertical="top"/>
    </xf>
    <xf numFmtId="0" fontId="15" fillId="0" borderId="5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6" fillId="0" borderId="7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1" fontId="4" fillId="0" borderId="5" xfId="0" applyNumberFormat="1" applyFont="1" applyFill="1" applyBorder="1" applyAlignment="1">
      <alignment horizontal="center" vertical="top" shrinkToFit="1"/>
    </xf>
    <xf numFmtId="0" fontId="16" fillId="2" borderId="8" xfId="0" applyFont="1" applyFill="1" applyBorder="1" applyAlignment="1">
      <alignment horizontal="left" vertical="top"/>
    </xf>
    <xf numFmtId="0" fontId="16" fillId="2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7" fillId="0" borderId="0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165" fontId="17" fillId="0" borderId="0" xfId="0" applyNumberFormat="1" applyFont="1" applyFill="1" applyBorder="1" applyAlignment="1">
      <alignment horizontal="left" vertical="top"/>
    </xf>
    <xf numFmtId="0" fontId="19" fillId="2" borderId="8" xfId="0" applyFont="1" applyFill="1" applyBorder="1" applyAlignment="1">
      <alignment horizontal="left" vertical="top"/>
    </xf>
    <xf numFmtId="0" fontId="19" fillId="2" borderId="8" xfId="0" applyFont="1" applyFill="1" applyBorder="1" applyAlignment="1">
      <alignment horizontal="center" vertical="top"/>
    </xf>
    <xf numFmtId="38" fontId="16" fillId="2" borderId="8" xfId="0" applyNumberFormat="1" applyFont="1" applyFill="1" applyBorder="1" applyAlignment="1">
      <alignment horizontal="right" vertical="top"/>
    </xf>
    <xf numFmtId="38" fontId="0" fillId="0" borderId="0" xfId="0" applyNumberFormat="1" applyFill="1" applyBorder="1" applyAlignment="1">
      <alignment horizontal="right" vertical="top"/>
    </xf>
    <xf numFmtId="0" fontId="0" fillId="0" borderId="0" xfId="0" applyFill="1" applyBorder="1" applyAlignment="1">
      <alignment horizontal="right" vertical="top"/>
    </xf>
    <xf numFmtId="0" fontId="0" fillId="0" borderId="0" xfId="0" applyNumberFormat="1" applyFill="1" applyBorder="1" applyAlignment="1">
      <alignment horizontal="right" vertical="top"/>
    </xf>
    <xf numFmtId="38" fontId="0" fillId="0" borderId="0" xfId="0" applyNumberFormat="1" applyFill="1" applyBorder="1" applyAlignment="1">
      <alignment vertical="top"/>
    </xf>
    <xf numFmtId="0" fontId="20" fillId="0" borderId="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left" vertical="top"/>
    </xf>
    <xf numFmtId="0" fontId="23" fillId="0" borderId="0" xfId="0" applyFont="1" applyFill="1" applyBorder="1" applyAlignment="1">
      <alignment horizontal="left" vertical="top"/>
    </xf>
    <xf numFmtId="0" fontId="0" fillId="0" borderId="0" xfId="0" applyFill="1" applyBorder="1" applyAlignment="1" applyProtection="1">
      <alignment horizontal="right" vertical="top"/>
    </xf>
    <xf numFmtId="0" fontId="16" fillId="2" borderId="8" xfId="0" applyFont="1" applyFill="1" applyBorder="1" applyAlignment="1" applyProtection="1">
      <alignment horizontal="right" vertical="top"/>
    </xf>
    <xf numFmtId="16" fontId="0" fillId="0" borderId="0" xfId="0" applyNumberFormat="1" applyFill="1" applyBorder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6"/>
    </xf>
    <xf numFmtId="0" fontId="2" fillId="0" borderId="3" xfId="0" applyFont="1" applyFill="1" applyBorder="1" applyAlignment="1">
      <alignment horizontal="left" vertical="top" wrapText="1" indent="6"/>
    </xf>
    <xf numFmtId="0" fontId="2" fillId="0" borderId="4" xfId="0" applyFont="1" applyFill="1" applyBorder="1" applyAlignment="1">
      <alignment horizontal="left" vertical="top" wrapText="1" indent="6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5" formatCode="[$-409]dd\-mmm\-yy;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6" formatCode="#,##0_);[Red]\(#,##0\)"/>
      <alignment horizontal="right" vertical="top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  <protection locked="1" hidden="0"/>
    </dxf>
    <dxf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FE6B1-045D-4906-8D1D-13F4AF1C17A9}" name="Table1" displayName="Table1" ref="A1:I333" totalsRowShown="0" headerRowDxfId="11" headerRowBorderDxfId="10" tableBorderDxfId="9">
  <autoFilter ref="A1:I333" xr:uid="{017EA9EC-ABB7-47E9-B0D7-6DE7BF57B50F}"/>
  <tableColumns count="9">
    <tableColumn id="1" xr3:uid="{79FB1E80-606F-458D-8B70-2D6331CC330D}" name="S #" dataDxfId="8"/>
    <tableColumn id="4" xr3:uid="{0EACE3BE-85E5-4327-BA36-A9CBDD0F308A}" name="DESCRIPTION2"/>
    <tableColumn id="2" xr3:uid="{254178E9-E6DD-463D-89C7-DEA00FE253F6}" name="COMPOSITION"/>
    <tableColumn id="3" xr3:uid="{AB27332D-2460-4E4A-9C43-18C76CBF7CAA}" name="TYPE"/>
    <tableColumn id="9" xr3:uid="{61782D6B-5850-4545-9CFB-E6F369BAE8F3}" name="UOM"/>
    <tableColumn id="5" xr3:uid="{D7EF45CB-B485-4879-A67B-060E9CBFD5C0}" name="OPENING" dataDxfId="7"/>
    <tableColumn id="6" xr3:uid="{A8D2283B-9030-468C-BCA8-69509DA33165}" name="RECEIPT" dataDxfId="6">
      <calculatedColumnFormula>SUMIFS(TRANSACTION!D:D,TRANSACTION!C:C,Table1[[#This Row],[DESCRIPTION2]])</calculatedColumnFormula>
    </tableColumn>
    <tableColumn id="7" xr3:uid="{43127E6D-8DA1-4953-81CE-CF1C0937ABF9}" name="ISSUANCE" dataDxfId="5"/>
    <tableColumn id="8" xr3:uid="{F4788254-14D4-44F3-8EF1-CA921EE736F3}" name="BALANCE" dataDxfId="4">
      <calculatedColumnFormula>Table1[[#This Row],[OPENING]]+Table1[[#This Row],[RECEIPT]]-Table1[[#This Row],[ISSUANCE]]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24C701-07DD-4EB5-9FF8-1927A2EDB85C}" name="Table3" displayName="Table3" ref="B2:F2355" totalsRowShown="0" headerRowDxfId="3" headerRowBorderDxfId="2" tableBorderDxfId="1">
  <autoFilter ref="B2:F2355" xr:uid="{70CFC257-2A2A-47FB-92C0-7B0CB71DFFBA}"/>
  <tableColumns count="5">
    <tableColumn id="1" xr3:uid="{C3926961-3874-40BC-8A92-BC2DA7E91EE4}" name="DATE" dataDxfId="0"/>
    <tableColumn id="2" xr3:uid="{76B883B8-B718-4AB9-80C0-C42888DAAE2D}" name="ITEM"/>
    <tableColumn id="6" xr3:uid="{BD9B208E-A496-4059-9B9C-1000602B5AC9}" name="RECEIPT"/>
    <tableColumn id="7" xr3:uid="{E5C4FF6E-5FE8-44D6-BE3E-8CC7A3484EB7}" name="ISSUANCE"/>
    <tableColumn id="8" xr3:uid="{CDA05BCD-EB47-4110-A9B5-3FC7C9055648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opLeftCell="A30" workbookViewId="0">
      <selection activeCell="B44" sqref="B44"/>
    </sheetView>
  </sheetViews>
  <sheetFormatPr defaultRowHeight="13.2" x14ac:dyDescent="0.25"/>
  <cols>
    <col min="1" max="1" width="9.44140625" customWidth="1"/>
    <col min="2" max="2" width="52.109375" customWidth="1"/>
    <col min="3" max="3" width="17.77734375" customWidth="1"/>
    <col min="4" max="4" width="15.44140625" customWidth="1"/>
    <col min="5" max="5" width="15.77734375" customWidth="1"/>
    <col min="6" max="6" width="15.44140625" customWidth="1"/>
    <col min="7" max="7" width="2.6640625" customWidth="1"/>
  </cols>
  <sheetData>
    <row r="1" spans="1:7" ht="22.5" customHeight="1" x14ac:dyDescent="0.25">
      <c r="A1" s="57" t="s">
        <v>0</v>
      </c>
      <c r="B1" s="57"/>
      <c r="C1" s="57"/>
      <c r="D1" s="57"/>
      <c r="E1" s="57"/>
      <c r="F1" s="57"/>
      <c r="G1" s="57"/>
    </row>
    <row r="2" spans="1:7" ht="17.7" customHeight="1" x14ac:dyDescent="0.25">
      <c r="A2" s="1" t="s">
        <v>1</v>
      </c>
      <c r="B2" s="2" t="s">
        <v>2</v>
      </c>
      <c r="C2" s="2" t="s">
        <v>3</v>
      </c>
      <c r="D2" s="58" t="s">
        <v>4</v>
      </c>
      <c r="E2" s="59"/>
      <c r="F2" s="60"/>
    </row>
    <row r="3" spans="1:7" ht="19.5" customHeight="1" x14ac:dyDescent="0.25">
      <c r="A3" s="54" t="s">
        <v>5</v>
      </c>
      <c r="B3" s="55"/>
      <c r="C3" s="55"/>
      <c r="D3" s="55"/>
      <c r="E3" s="55"/>
      <c r="F3" s="56"/>
    </row>
    <row r="4" spans="1:7" ht="17.25" customHeight="1" x14ac:dyDescent="0.25">
      <c r="A4" s="3">
        <v>1</v>
      </c>
      <c r="B4" s="1" t="s">
        <v>6</v>
      </c>
      <c r="C4" s="4">
        <v>4</v>
      </c>
      <c r="D4" s="5"/>
      <c r="E4" s="5"/>
      <c r="F4" s="5"/>
    </row>
    <row r="5" spans="1:7" ht="17.25" customHeight="1" x14ac:dyDescent="0.25">
      <c r="A5" s="3">
        <v>2</v>
      </c>
      <c r="B5" s="1" t="s">
        <v>7</v>
      </c>
      <c r="C5" s="4">
        <v>3</v>
      </c>
      <c r="D5" s="2" t="s">
        <v>8</v>
      </c>
      <c r="E5" s="5"/>
      <c r="F5" s="5"/>
    </row>
    <row r="6" spans="1:7" ht="17.7" customHeight="1" x14ac:dyDescent="0.25">
      <c r="A6" s="3">
        <v>3</v>
      </c>
      <c r="B6" s="1" t="s">
        <v>9</v>
      </c>
      <c r="C6" s="4">
        <v>4</v>
      </c>
      <c r="D6" s="5"/>
      <c r="E6" s="5"/>
      <c r="F6" s="5"/>
    </row>
    <row r="7" spans="1:7" ht="17.7" customHeight="1" x14ac:dyDescent="0.25">
      <c r="A7" s="3">
        <v>4</v>
      </c>
      <c r="B7" s="1" t="s">
        <v>10</v>
      </c>
      <c r="C7" s="4">
        <v>4</v>
      </c>
      <c r="D7" s="5"/>
      <c r="E7" s="5"/>
      <c r="F7" s="5"/>
    </row>
    <row r="8" spans="1:7" ht="28.2" customHeight="1" x14ac:dyDescent="0.25">
      <c r="A8" s="3">
        <v>5</v>
      </c>
      <c r="B8" s="1" t="s">
        <v>11</v>
      </c>
      <c r="C8" s="4">
        <v>18</v>
      </c>
      <c r="D8" s="6"/>
      <c r="E8" s="6"/>
      <c r="F8" s="6"/>
    </row>
    <row r="9" spans="1:7" ht="28.2" customHeight="1" x14ac:dyDescent="0.25">
      <c r="A9" s="3">
        <v>6</v>
      </c>
      <c r="B9" s="1" t="s">
        <v>12</v>
      </c>
      <c r="C9" s="4">
        <v>0</v>
      </c>
      <c r="D9" s="6"/>
      <c r="E9" s="6"/>
      <c r="F9" s="6"/>
    </row>
    <row r="10" spans="1:7" ht="17.25" customHeight="1" x14ac:dyDescent="0.25">
      <c r="A10" s="3">
        <v>7</v>
      </c>
      <c r="B10" s="1" t="s">
        <v>13</v>
      </c>
      <c r="C10" s="4">
        <v>12</v>
      </c>
      <c r="D10" s="5"/>
      <c r="E10" s="5"/>
      <c r="F10" s="5"/>
    </row>
    <row r="11" spans="1:7" ht="17.25" customHeight="1" x14ac:dyDescent="0.25">
      <c r="A11" s="3">
        <v>8</v>
      </c>
      <c r="B11" s="1" t="s">
        <v>14</v>
      </c>
      <c r="C11" s="4">
        <v>34</v>
      </c>
      <c r="D11" s="5"/>
      <c r="E11" s="5"/>
      <c r="F11" s="5"/>
    </row>
    <row r="12" spans="1:7" ht="17.25" customHeight="1" x14ac:dyDescent="0.25">
      <c r="A12" s="3">
        <v>9</v>
      </c>
      <c r="B12" s="1" t="s">
        <v>15</v>
      </c>
      <c r="C12" s="4">
        <v>12</v>
      </c>
      <c r="D12" s="5"/>
      <c r="E12" s="5"/>
      <c r="F12" s="5"/>
    </row>
    <row r="13" spans="1:7" ht="17.25" customHeight="1" x14ac:dyDescent="0.25">
      <c r="A13" s="7">
        <v>10</v>
      </c>
      <c r="B13" s="1" t="s">
        <v>16</v>
      </c>
      <c r="C13" s="4">
        <v>0</v>
      </c>
      <c r="D13" s="5"/>
      <c r="E13" s="5"/>
      <c r="F13" s="5"/>
    </row>
    <row r="14" spans="1:7" ht="17.25" customHeight="1" x14ac:dyDescent="0.25">
      <c r="A14" s="7">
        <v>11</v>
      </c>
      <c r="B14" s="1" t="s">
        <v>17</v>
      </c>
      <c r="C14" s="4">
        <v>0</v>
      </c>
      <c r="D14" s="5"/>
      <c r="E14" s="5"/>
      <c r="F14" s="5"/>
    </row>
    <row r="15" spans="1:7" ht="17.25" customHeight="1" x14ac:dyDescent="0.25">
      <c r="A15" s="7">
        <v>12</v>
      </c>
      <c r="B15" s="1" t="s">
        <v>18</v>
      </c>
      <c r="C15" s="4">
        <v>9</v>
      </c>
      <c r="D15" s="5"/>
      <c r="E15" s="5"/>
      <c r="F15" s="5"/>
    </row>
    <row r="16" spans="1:7" ht="17.25" customHeight="1" x14ac:dyDescent="0.25">
      <c r="A16" s="7">
        <v>13</v>
      </c>
      <c r="B16" s="1" t="s">
        <v>19</v>
      </c>
      <c r="C16" s="4">
        <v>5</v>
      </c>
      <c r="D16" s="5"/>
      <c r="E16" s="5"/>
      <c r="F16" s="5"/>
    </row>
    <row r="17" spans="1:6" ht="17.25" customHeight="1" x14ac:dyDescent="0.25">
      <c r="A17" s="7">
        <v>14</v>
      </c>
      <c r="B17" s="1" t="s">
        <v>20</v>
      </c>
      <c r="C17" s="4">
        <v>14</v>
      </c>
      <c r="D17" s="5"/>
      <c r="E17" s="5"/>
      <c r="F17" s="5"/>
    </row>
    <row r="18" spans="1:6" ht="17.25" customHeight="1" x14ac:dyDescent="0.25">
      <c r="A18" s="7">
        <v>15</v>
      </c>
      <c r="B18" s="1" t="s">
        <v>21</v>
      </c>
      <c r="C18" s="4">
        <v>4</v>
      </c>
      <c r="D18" s="5"/>
      <c r="E18" s="5"/>
      <c r="F18" s="5"/>
    </row>
    <row r="19" spans="1:6" ht="19.5" customHeight="1" x14ac:dyDescent="0.25">
      <c r="A19" s="54" t="s">
        <v>22</v>
      </c>
      <c r="B19" s="55"/>
      <c r="C19" s="55"/>
      <c r="D19" s="55"/>
      <c r="E19" s="55"/>
      <c r="F19" s="56"/>
    </row>
    <row r="20" spans="1:6" ht="17.25" customHeight="1" x14ac:dyDescent="0.25">
      <c r="A20" s="3">
        <v>1</v>
      </c>
      <c r="B20" s="1" t="s">
        <v>23</v>
      </c>
      <c r="C20" s="4">
        <v>6</v>
      </c>
      <c r="D20" s="5"/>
      <c r="E20" s="5"/>
      <c r="F20" s="5"/>
    </row>
    <row r="21" spans="1:6" ht="17.25" customHeight="1" x14ac:dyDescent="0.25">
      <c r="A21" s="3">
        <v>2</v>
      </c>
      <c r="B21" s="1" t="s">
        <v>24</v>
      </c>
      <c r="C21" s="4">
        <v>56</v>
      </c>
      <c r="D21" s="5"/>
      <c r="E21" s="5"/>
      <c r="F21" s="5"/>
    </row>
    <row r="22" spans="1:6" ht="17.25" customHeight="1" x14ac:dyDescent="0.25">
      <c r="A22" s="3">
        <v>3</v>
      </c>
      <c r="B22" s="1" t="s">
        <v>25</v>
      </c>
      <c r="C22" s="4">
        <v>50</v>
      </c>
      <c r="D22" s="5"/>
      <c r="E22" s="5"/>
      <c r="F22" s="5"/>
    </row>
    <row r="23" spans="1:6" ht="17.25" customHeight="1" x14ac:dyDescent="0.25">
      <c r="A23" s="3">
        <v>4</v>
      </c>
      <c r="B23" s="1" t="s">
        <v>26</v>
      </c>
      <c r="C23" s="4">
        <v>50</v>
      </c>
      <c r="D23" s="5"/>
      <c r="E23" s="5"/>
      <c r="F23" s="5"/>
    </row>
    <row r="24" spans="1:6" ht="17.25" customHeight="1" x14ac:dyDescent="0.25">
      <c r="A24" s="3">
        <v>5</v>
      </c>
      <c r="B24" s="1" t="s">
        <v>27</v>
      </c>
      <c r="C24" s="4">
        <v>15</v>
      </c>
      <c r="D24" s="2" t="s">
        <v>8</v>
      </c>
      <c r="E24" s="5"/>
      <c r="F24" s="5"/>
    </row>
    <row r="25" spans="1:6" ht="17.25" customHeight="1" x14ac:dyDescent="0.25">
      <c r="A25" s="3">
        <v>6</v>
      </c>
      <c r="B25" s="1" t="s">
        <v>28</v>
      </c>
      <c r="C25" s="4">
        <v>28</v>
      </c>
      <c r="D25" s="5"/>
      <c r="E25" s="5"/>
      <c r="F25" s="5"/>
    </row>
    <row r="26" spans="1:6" ht="17.25" customHeight="1" x14ac:dyDescent="0.25">
      <c r="A26" s="3">
        <v>7</v>
      </c>
      <c r="B26" s="1" t="s">
        <v>29</v>
      </c>
      <c r="C26" s="4">
        <v>66</v>
      </c>
      <c r="D26" s="5"/>
      <c r="E26" s="5"/>
      <c r="F26" s="5"/>
    </row>
    <row r="27" spans="1:6" ht="17.25" customHeight="1" x14ac:dyDescent="0.25">
      <c r="A27" s="3">
        <v>8</v>
      </c>
      <c r="B27" s="1" t="s">
        <v>30</v>
      </c>
      <c r="C27" s="4">
        <v>90</v>
      </c>
      <c r="D27" s="5"/>
      <c r="E27" s="5"/>
      <c r="F27" s="5"/>
    </row>
    <row r="28" spans="1:6" ht="17.25" customHeight="1" x14ac:dyDescent="0.25">
      <c r="A28" s="3">
        <v>9</v>
      </c>
      <c r="B28" s="1" t="s">
        <v>31</v>
      </c>
      <c r="C28" s="4">
        <v>69</v>
      </c>
      <c r="D28" s="5"/>
      <c r="E28" s="5"/>
      <c r="F28" s="5"/>
    </row>
    <row r="29" spans="1:6" ht="17.25" customHeight="1" x14ac:dyDescent="0.25">
      <c r="A29" s="7">
        <v>10</v>
      </c>
      <c r="B29" s="1" t="s">
        <v>32</v>
      </c>
      <c r="C29" s="4">
        <v>50</v>
      </c>
      <c r="D29" s="5"/>
      <c r="E29" s="5"/>
      <c r="F29" s="5"/>
    </row>
    <row r="30" spans="1:6" ht="17.25" customHeight="1" x14ac:dyDescent="0.25">
      <c r="A30" s="7">
        <v>11</v>
      </c>
      <c r="B30" s="1" t="s">
        <v>33</v>
      </c>
      <c r="C30" s="4">
        <v>4</v>
      </c>
      <c r="D30" s="5"/>
      <c r="E30" s="5"/>
      <c r="F30" s="5"/>
    </row>
    <row r="31" spans="1:6" ht="17.25" customHeight="1" x14ac:dyDescent="0.25">
      <c r="A31" s="7">
        <v>12</v>
      </c>
      <c r="B31" s="1" t="s">
        <v>34</v>
      </c>
      <c r="C31" s="4">
        <v>3</v>
      </c>
      <c r="D31" s="5"/>
      <c r="E31" s="5"/>
      <c r="F31" s="5"/>
    </row>
    <row r="32" spans="1:6" ht="17.25" customHeight="1" x14ac:dyDescent="0.25">
      <c r="A32" s="7">
        <v>13</v>
      </c>
      <c r="B32" s="1" t="s">
        <v>35</v>
      </c>
      <c r="C32" s="4">
        <v>15</v>
      </c>
      <c r="D32" s="5"/>
      <c r="E32" s="5"/>
      <c r="F32" s="5"/>
    </row>
    <row r="33" spans="1:6" ht="17.25" customHeight="1" x14ac:dyDescent="0.25">
      <c r="A33" s="7">
        <v>14</v>
      </c>
      <c r="B33" s="1" t="s">
        <v>36</v>
      </c>
      <c r="C33" s="4">
        <v>34</v>
      </c>
      <c r="D33" s="5"/>
      <c r="E33" s="5"/>
      <c r="F33" s="5"/>
    </row>
    <row r="34" spans="1:6" ht="17.25" customHeight="1" x14ac:dyDescent="0.25">
      <c r="A34" s="7">
        <v>15</v>
      </c>
      <c r="B34" s="1" t="s">
        <v>37</v>
      </c>
      <c r="C34" s="2" t="s">
        <v>38</v>
      </c>
      <c r="D34" s="5"/>
      <c r="E34" s="5"/>
      <c r="F34" s="5"/>
    </row>
    <row r="35" spans="1:6" ht="17.25" customHeight="1" x14ac:dyDescent="0.25">
      <c r="A35" s="7">
        <v>16</v>
      </c>
      <c r="B35" s="1" t="s">
        <v>39</v>
      </c>
      <c r="C35" s="4">
        <v>35</v>
      </c>
      <c r="D35" s="5"/>
      <c r="E35" s="5"/>
      <c r="F35" s="5"/>
    </row>
    <row r="36" spans="1:6" ht="17.25" customHeight="1" x14ac:dyDescent="0.25">
      <c r="A36" s="7">
        <v>17</v>
      </c>
      <c r="B36" s="1" t="s">
        <v>40</v>
      </c>
      <c r="C36" s="4">
        <v>5</v>
      </c>
      <c r="D36" s="2" t="s">
        <v>8</v>
      </c>
      <c r="E36" s="5"/>
      <c r="F36" s="5"/>
    </row>
    <row r="37" spans="1:6" ht="17.25" customHeight="1" x14ac:dyDescent="0.25">
      <c r="A37" s="7">
        <v>18</v>
      </c>
      <c r="B37" s="1" t="s">
        <v>41</v>
      </c>
      <c r="C37" s="4">
        <v>5</v>
      </c>
      <c r="D37" s="5"/>
      <c r="E37" s="5"/>
      <c r="F37" s="5"/>
    </row>
    <row r="38" spans="1:6" ht="17.25" customHeight="1" x14ac:dyDescent="0.25">
      <c r="A38" s="7">
        <v>19</v>
      </c>
      <c r="B38" s="1" t="s">
        <v>42</v>
      </c>
      <c r="C38" s="2" t="s">
        <v>43</v>
      </c>
      <c r="D38" s="5"/>
      <c r="E38" s="5"/>
      <c r="F38" s="5"/>
    </row>
    <row r="39" spans="1:6" ht="19.5" customHeight="1" x14ac:dyDescent="0.25">
      <c r="A39" s="54" t="s">
        <v>44</v>
      </c>
      <c r="B39" s="55"/>
      <c r="C39" s="55"/>
      <c r="D39" s="56"/>
      <c r="E39" s="5"/>
      <c r="F39" s="5"/>
    </row>
    <row r="40" spans="1:6" ht="17.25" customHeight="1" x14ac:dyDescent="0.25">
      <c r="A40" s="3">
        <v>1</v>
      </c>
      <c r="B40" s="1" t="s">
        <v>45</v>
      </c>
      <c r="C40" s="4">
        <v>24</v>
      </c>
      <c r="D40" s="5"/>
      <c r="E40" s="5"/>
      <c r="F40" s="5"/>
    </row>
    <row r="41" spans="1:6" ht="17.25" customHeight="1" x14ac:dyDescent="0.25">
      <c r="A41" s="3">
        <v>2</v>
      </c>
      <c r="B41" s="1" t="s">
        <v>46</v>
      </c>
      <c r="C41" s="4">
        <v>8</v>
      </c>
      <c r="D41" s="5"/>
      <c r="E41" s="5"/>
      <c r="F41" s="5"/>
    </row>
    <row r="42" spans="1:6" ht="17.25" customHeight="1" x14ac:dyDescent="0.25">
      <c r="A42" s="3">
        <v>3</v>
      </c>
      <c r="B42" s="1" t="s">
        <v>47</v>
      </c>
      <c r="C42" s="2" t="s">
        <v>48</v>
      </c>
      <c r="D42" s="5"/>
      <c r="E42" s="5"/>
      <c r="F42" s="5"/>
    </row>
    <row r="43" spans="1:6" ht="17.25" customHeight="1" x14ac:dyDescent="0.25">
      <c r="A43" s="3">
        <v>4</v>
      </c>
      <c r="B43" s="1" t="s">
        <v>49</v>
      </c>
      <c r="C43" s="4">
        <v>40</v>
      </c>
      <c r="D43" s="5"/>
      <c r="E43" s="5"/>
      <c r="F43" s="5"/>
    </row>
    <row r="44" spans="1:6" ht="17.25" customHeight="1" x14ac:dyDescent="0.25">
      <c r="A44" s="3">
        <v>5</v>
      </c>
      <c r="B44" s="1" t="s">
        <v>50</v>
      </c>
      <c r="C44" s="4">
        <v>25</v>
      </c>
      <c r="D44" s="5"/>
      <c r="E44" s="5"/>
      <c r="F44" s="5"/>
    </row>
    <row r="45" spans="1:6" ht="17.25" customHeight="1" x14ac:dyDescent="0.25">
      <c r="A45" s="3">
        <v>6</v>
      </c>
      <c r="B45" s="1" t="s">
        <v>51</v>
      </c>
      <c r="C45" s="4">
        <v>21</v>
      </c>
      <c r="D45" s="5"/>
      <c r="E45" s="5"/>
      <c r="F45" s="5"/>
    </row>
    <row r="46" spans="1:6" ht="17.25" customHeight="1" x14ac:dyDescent="0.25">
      <c r="A46" s="3">
        <v>7</v>
      </c>
      <c r="B46" s="1" t="s">
        <v>52</v>
      </c>
      <c r="C46" s="2" t="s">
        <v>53</v>
      </c>
      <c r="D46" s="5"/>
      <c r="E46" s="5"/>
      <c r="F46" s="5"/>
    </row>
    <row r="47" spans="1:6" ht="17.25" customHeight="1" x14ac:dyDescent="0.25">
      <c r="A47" s="3">
        <v>8</v>
      </c>
      <c r="B47" s="1" t="s">
        <v>54</v>
      </c>
      <c r="C47" s="4">
        <v>32</v>
      </c>
      <c r="D47" s="5"/>
      <c r="E47" s="5"/>
      <c r="F47" s="5"/>
    </row>
    <row r="48" spans="1:6" ht="17.25" customHeight="1" x14ac:dyDescent="0.25">
      <c r="A48" s="3">
        <v>9</v>
      </c>
      <c r="B48" s="1" t="s">
        <v>55</v>
      </c>
      <c r="C48" s="4">
        <v>1</v>
      </c>
      <c r="D48" s="5"/>
      <c r="E48" s="5"/>
      <c r="F48" s="5"/>
    </row>
    <row r="49" spans="1:6" ht="17.25" customHeight="1" x14ac:dyDescent="0.25">
      <c r="A49" s="3">
        <v>10</v>
      </c>
      <c r="B49" s="1" t="s">
        <v>56</v>
      </c>
      <c r="C49" s="5"/>
      <c r="D49" s="5"/>
      <c r="E49" s="5"/>
      <c r="F49" s="5"/>
    </row>
    <row r="50" spans="1:6" ht="19.5" customHeight="1" x14ac:dyDescent="0.25">
      <c r="A50" s="54" t="s">
        <v>57</v>
      </c>
      <c r="B50" s="55"/>
      <c r="C50" s="55"/>
      <c r="D50" s="56"/>
      <c r="E50" s="5"/>
      <c r="F50" s="5"/>
    </row>
    <row r="51" spans="1:6" ht="17.25" customHeight="1" x14ac:dyDescent="0.25">
      <c r="A51" s="3">
        <v>1</v>
      </c>
      <c r="B51" s="1" t="s">
        <v>58</v>
      </c>
      <c r="C51" s="4">
        <v>9</v>
      </c>
      <c r="D51" s="5"/>
      <c r="E51" s="5"/>
      <c r="F51" s="5"/>
    </row>
    <row r="52" spans="1:6" ht="17.25" customHeight="1" x14ac:dyDescent="0.25">
      <c r="A52" s="3">
        <v>2</v>
      </c>
      <c r="B52" s="1" t="s">
        <v>59</v>
      </c>
      <c r="C52" s="4">
        <v>10</v>
      </c>
      <c r="D52" s="8" t="s">
        <v>8</v>
      </c>
      <c r="E52" s="5"/>
      <c r="F52" s="5"/>
    </row>
    <row r="53" spans="1:6" ht="17.25" customHeight="1" x14ac:dyDescent="0.25">
      <c r="A53" s="3">
        <v>3</v>
      </c>
      <c r="B53" s="1" t="s">
        <v>60</v>
      </c>
      <c r="C53" s="4">
        <v>4</v>
      </c>
      <c r="D53" s="5"/>
      <c r="E53" s="5"/>
      <c r="F53" s="5"/>
    </row>
    <row r="54" spans="1:6" ht="17.25" customHeight="1" x14ac:dyDescent="0.25">
      <c r="A54" s="3">
        <v>4</v>
      </c>
      <c r="B54" s="1" t="s">
        <v>61</v>
      </c>
      <c r="C54" s="4">
        <v>8</v>
      </c>
      <c r="D54" s="5"/>
      <c r="E54" s="5"/>
      <c r="F54" s="5"/>
    </row>
    <row r="55" spans="1:6" ht="17.25" customHeight="1" x14ac:dyDescent="0.25">
      <c r="A55" s="3">
        <v>5</v>
      </c>
      <c r="B55" s="1" t="s">
        <v>62</v>
      </c>
      <c r="C55" s="4">
        <v>17</v>
      </c>
      <c r="D55" s="5"/>
      <c r="E55" s="5"/>
      <c r="F55" s="5"/>
    </row>
    <row r="56" spans="1:6" ht="17.25" customHeight="1" x14ac:dyDescent="0.25">
      <c r="A56" s="3">
        <v>6</v>
      </c>
      <c r="B56" s="1" t="s">
        <v>63</v>
      </c>
      <c r="C56" s="4">
        <v>50</v>
      </c>
      <c r="D56" s="5"/>
      <c r="E56" s="5"/>
      <c r="F56" s="5"/>
    </row>
    <row r="57" spans="1:6" ht="17.25" customHeight="1" x14ac:dyDescent="0.25">
      <c r="A57" s="3">
        <v>7</v>
      </c>
      <c r="B57" s="1" t="s">
        <v>64</v>
      </c>
      <c r="C57" s="4">
        <v>1</v>
      </c>
      <c r="D57" s="5"/>
      <c r="E57" s="5"/>
      <c r="F57" s="5"/>
    </row>
    <row r="58" spans="1:6" ht="19.5" customHeight="1" x14ac:dyDescent="0.25">
      <c r="A58" s="54" t="s">
        <v>65</v>
      </c>
      <c r="B58" s="55"/>
      <c r="C58" s="55"/>
      <c r="D58" s="56"/>
      <c r="E58" s="5"/>
      <c r="F58" s="5"/>
    </row>
    <row r="59" spans="1:6" ht="17.25" customHeight="1" x14ac:dyDescent="0.25">
      <c r="A59" s="3">
        <v>1</v>
      </c>
      <c r="B59" s="1" t="s">
        <v>66</v>
      </c>
      <c r="C59" s="4">
        <v>20</v>
      </c>
      <c r="D59" s="5"/>
      <c r="E59" s="5"/>
      <c r="F59" s="5"/>
    </row>
    <row r="60" spans="1:6" ht="17.25" customHeight="1" x14ac:dyDescent="0.25">
      <c r="A60" s="3">
        <v>2</v>
      </c>
      <c r="B60" s="1" t="s">
        <v>67</v>
      </c>
      <c r="C60" s="4">
        <v>1</v>
      </c>
      <c r="D60" s="5"/>
      <c r="E60" s="5"/>
      <c r="F60" s="5"/>
    </row>
    <row r="61" spans="1:6" ht="17.25" customHeight="1" x14ac:dyDescent="0.25">
      <c r="A61" s="3">
        <v>3</v>
      </c>
      <c r="B61" s="1" t="s">
        <v>68</v>
      </c>
      <c r="C61" s="4">
        <v>1</v>
      </c>
      <c r="D61" s="5"/>
      <c r="E61" s="5"/>
      <c r="F61" s="5"/>
    </row>
    <row r="62" spans="1:6" ht="17.25" customHeight="1" x14ac:dyDescent="0.25">
      <c r="A62" s="3">
        <v>4</v>
      </c>
      <c r="B62" s="1" t="s">
        <v>69</v>
      </c>
      <c r="C62" s="4">
        <v>7</v>
      </c>
      <c r="D62" s="5"/>
      <c r="E62" s="5"/>
      <c r="F62" s="5"/>
    </row>
    <row r="63" spans="1:6" ht="17.25" customHeight="1" x14ac:dyDescent="0.25">
      <c r="A63" s="3">
        <v>5</v>
      </c>
      <c r="B63" s="1" t="s">
        <v>70</v>
      </c>
      <c r="C63" s="4">
        <v>1</v>
      </c>
      <c r="D63" s="5"/>
      <c r="E63" s="5"/>
      <c r="F63" s="5"/>
    </row>
    <row r="64" spans="1:6" ht="17.25" customHeight="1" x14ac:dyDescent="0.25">
      <c r="A64" s="3">
        <v>6</v>
      </c>
      <c r="B64" s="1" t="s">
        <v>71</v>
      </c>
      <c r="C64" s="4">
        <v>1</v>
      </c>
      <c r="D64" s="5"/>
      <c r="E64" s="5"/>
      <c r="F64" s="5"/>
    </row>
    <row r="65" spans="1:6" ht="17.25" customHeight="1" x14ac:dyDescent="0.25">
      <c r="A65" s="3">
        <v>7</v>
      </c>
      <c r="B65" s="1" t="s">
        <v>72</v>
      </c>
      <c r="C65" s="4">
        <v>10</v>
      </c>
      <c r="D65" s="5"/>
      <c r="E65" s="5"/>
      <c r="F65" s="5"/>
    </row>
    <row r="66" spans="1:6" ht="17.25" customHeight="1" x14ac:dyDescent="0.25">
      <c r="A66" s="3">
        <v>8</v>
      </c>
      <c r="B66" s="1" t="s">
        <v>73</v>
      </c>
      <c r="C66" s="4">
        <v>10</v>
      </c>
      <c r="D66" s="5"/>
      <c r="E66" s="5"/>
      <c r="F66" s="5"/>
    </row>
    <row r="67" spans="1:6" ht="17.25" customHeight="1" x14ac:dyDescent="0.25">
      <c r="A67" s="3">
        <v>9</v>
      </c>
      <c r="B67" s="1" t="s">
        <v>74</v>
      </c>
      <c r="C67" s="4">
        <v>1</v>
      </c>
      <c r="D67" s="5"/>
      <c r="E67" s="5"/>
      <c r="F67" s="5"/>
    </row>
    <row r="68" spans="1:6" ht="19.5" customHeight="1" x14ac:dyDescent="0.25">
      <c r="A68" s="54" t="s">
        <v>75</v>
      </c>
      <c r="B68" s="55"/>
      <c r="C68" s="55"/>
      <c r="D68" s="56"/>
      <c r="E68" s="5"/>
      <c r="F68" s="5"/>
    </row>
    <row r="69" spans="1:6" ht="34.5" customHeight="1" x14ac:dyDescent="0.25">
      <c r="A69" s="3">
        <v>1</v>
      </c>
      <c r="B69" s="1" t="s">
        <v>76</v>
      </c>
      <c r="C69" s="9" t="s">
        <v>77</v>
      </c>
      <c r="D69" s="6"/>
      <c r="E69" s="6"/>
      <c r="F69" s="6"/>
    </row>
    <row r="70" spans="1:6" ht="34.5" customHeight="1" x14ac:dyDescent="0.25">
      <c r="A70" s="3">
        <v>2</v>
      </c>
      <c r="B70" s="1" t="s">
        <v>78</v>
      </c>
      <c r="C70" s="10" t="s">
        <v>79</v>
      </c>
      <c r="D70" s="6"/>
      <c r="E70" s="6"/>
      <c r="F70" s="6"/>
    </row>
    <row r="71" spans="1:6" ht="34.5" customHeight="1" x14ac:dyDescent="0.25">
      <c r="A71" s="3">
        <v>3</v>
      </c>
      <c r="B71" s="1" t="s">
        <v>80</v>
      </c>
      <c r="C71" s="10" t="s">
        <v>81</v>
      </c>
      <c r="D71" s="6"/>
      <c r="E71" s="6"/>
      <c r="F71" s="6"/>
    </row>
    <row r="72" spans="1:6" ht="34.5" customHeight="1" x14ac:dyDescent="0.25">
      <c r="A72" s="3">
        <v>4</v>
      </c>
      <c r="B72" s="1" t="s">
        <v>82</v>
      </c>
      <c r="C72" s="11" t="s">
        <v>83</v>
      </c>
      <c r="D72" s="6"/>
      <c r="E72" s="6"/>
      <c r="F72" s="6"/>
    </row>
    <row r="73" spans="1:6" ht="34.5" customHeight="1" x14ac:dyDescent="0.25">
      <c r="A73" s="3">
        <v>5</v>
      </c>
      <c r="B73" s="1" t="s">
        <v>84</v>
      </c>
      <c r="C73" s="11" t="s">
        <v>85</v>
      </c>
      <c r="D73" s="6"/>
      <c r="E73" s="6"/>
      <c r="F73" s="6"/>
    </row>
    <row r="74" spans="1:6" ht="34.5" customHeight="1" x14ac:dyDescent="0.25">
      <c r="A74" s="3">
        <v>6</v>
      </c>
      <c r="B74" s="1" t="s">
        <v>86</v>
      </c>
      <c r="C74" s="11" t="s">
        <v>87</v>
      </c>
      <c r="D74" s="6"/>
      <c r="E74" s="6"/>
      <c r="F74" s="6"/>
    </row>
    <row r="75" spans="1:6" ht="34.5" customHeight="1" x14ac:dyDescent="0.25">
      <c r="A75" s="3">
        <v>7</v>
      </c>
      <c r="B75" s="1" t="s">
        <v>88</v>
      </c>
      <c r="C75" s="11" t="s">
        <v>89</v>
      </c>
      <c r="D75" s="6"/>
      <c r="E75" s="6"/>
      <c r="F75" s="6"/>
    </row>
    <row r="76" spans="1:6" ht="34.5" customHeight="1" x14ac:dyDescent="0.25">
      <c r="A76" s="3">
        <v>8</v>
      </c>
      <c r="B76" s="1" t="s">
        <v>90</v>
      </c>
      <c r="C76" s="11" t="s">
        <v>91</v>
      </c>
      <c r="D76" s="6"/>
      <c r="E76" s="6"/>
      <c r="F76" s="6"/>
    </row>
    <row r="77" spans="1:6" ht="34.5" customHeight="1" x14ac:dyDescent="0.25">
      <c r="A77" s="3">
        <v>9</v>
      </c>
      <c r="B77" s="1" t="s">
        <v>92</v>
      </c>
      <c r="C77" s="11" t="s">
        <v>93</v>
      </c>
      <c r="D77" s="6"/>
      <c r="E77" s="6"/>
      <c r="F77" s="6"/>
    </row>
    <row r="78" spans="1:6" ht="34.5" customHeight="1" x14ac:dyDescent="0.25">
      <c r="A78" s="3">
        <v>10</v>
      </c>
      <c r="B78" s="1" t="s">
        <v>94</v>
      </c>
      <c r="C78" s="10" t="s">
        <v>95</v>
      </c>
      <c r="D78" s="6"/>
      <c r="E78" s="6"/>
      <c r="F78" s="6"/>
    </row>
    <row r="79" spans="1:6" ht="34.5" customHeight="1" x14ac:dyDescent="0.25">
      <c r="A79" s="3">
        <v>11</v>
      </c>
      <c r="B79" s="1" t="s">
        <v>96</v>
      </c>
      <c r="C79" s="11" t="s">
        <v>97</v>
      </c>
      <c r="D79" s="6"/>
      <c r="E79" s="6"/>
      <c r="F79" s="6"/>
    </row>
    <row r="80" spans="1:6" ht="34.5" customHeight="1" x14ac:dyDescent="0.25">
      <c r="A80" s="3">
        <v>12</v>
      </c>
      <c r="B80" s="1" t="s">
        <v>98</v>
      </c>
      <c r="C80" s="11" t="s">
        <v>99</v>
      </c>
      <c r="D80" s="6"/>
      <c r="E80" s="6"/>
      <c r="F80" s="6"/>
    </row>
    <row r="81" spans="1:6" ht="34.5" customHeight="1" x14ac:dyDescent="0.25">
      <c r="A81" s="3">
        <v>13</v>
      </c>
      <c r="B81" s="1" t="s">
        <v>100</v>
      </c>
      <c r="C81" s="10" t="s">
        <v>101</v>
      </c>
      <c r="D81" s="6"/>
      <c r="E81" s="6"/>
      <c r="F81" s="6"/>
    </row>
    <row r="82" spans="1:6" ht="34.5" customHeight="1" x14ac:dyDescent="0.25">
      <c r="A82" s="3">
        <v>14</v>
      </c>
      <c r="B82" s="1" t="s">
        <v>102</v>
      </c>
      <c r="C82" s="11" t="s">
        <v>103</v>
      </c>
      <c r="D82" s="6"/>
      <c r="E82" s="6"/>
      <c r="F82" s="6"/>
    </row>
    <row r="83" spans="1:6" ht="19.5" customHeight="1" x14ac:dyDescent="0.25">
      <c r="A83" s="54" t="s">
        <v>104</v>
      </c>
      <c r="B83" s="55"/>
      <c r="C83" s="55"/>
      <c r="D83" s="55"/>
      <c r="E83" s="55"/>
      <c r="F83" s="56"/>
    </row>
    <row r="84" spans="1:6" ht="17.25" customHeight="1" x14ac:dyDescent="0.25">
      <c r="A84" s="3">
        <v>1</v>
      </c>
      <c r="B84" s="5"/>
      <c r="C84" s="5"/>
      <c r="D84" s="5"/>
      <c r="E84" s="5"/>
      <c r="F84" s="5"/>
    </row>
    <row r="85" spans="1:6" ht="17.25" customHeight="1" x14ac:dyDescent="0.25">
      <c r="A85" s="3">
        <v>2</v>
      </c>
      <c r="B85" s="5"/>
      <c r="C85" s="5"/>
      <c r="D85" s="5"/>
      <c r="E85" s="5"/>
      <c r="F85" s="5"/>
    </row>
  </sheetData>
  <mergeCells count="9">
    <mergeCell ref="A50:D50"/>
    <mergeCell ref="A58:D58"/>
    <mergeCell ref="A68:D68"/>
    <mergeCell ref="A83:F83"/>
    <mergeCell ref="A1:G1"/>
    <mergeCell ref="D2:F2"/>
    <mergeCell ref="A3:F3"/>
    <mergeCell ref="A19:F19"/>
    <mergeCell ref="A39:D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0270-3BEA-4922-82A2-7D393EC2070C}">
  <dimension ref="A2:J174"/>
  <sheetViews>
    <sheetView zoomScale="122" zoomScaleNormal="122" workbookViewId="0">
      <pane xSplit="6" ySplit="2" topLeftCell="G173" activePane="bottomRight" state="frozen"/>
      <selection pane="topRight" activeCell="G1" sqref="G1"/>
      <selection pane="bottomLeft" activeCell="A3" sqref="A3"/>
      <selection pane="bottomRight" activeCell="F3" sqref="F3:F174"/>
    </sheetView>
  </sheetViews>
  <sheetFormatPr defaultRowHeight="13.2" x14ac:dyDescent="0.25"/>
  <cols>
    <col min="1" max="1" width="4.33203125" bestFit="1" customWidth="1"/>
    <col min="2" max="2" width="47.109375" bestFit="1" customWidth="1"/>
    <col min="3" max="3" width="47.109375" customWidth="1"/>
    <col min="4" max="4" width="12" customWidth="1"/>
    <col min="5" max="5" width="13.6640625" bestFit="1" customWidth="1"/>
    <col min="6" max="6" width="7.44140625" customWidth="1"/>
  </cols>
  <sheetData>
    <row r="2" spans="1:10" ht="15.6" x14ac:dyDescent="0.25">
      <c r="A2" s="12" t="s">
        <v>114</v>
      </c>
      <c r="B2" s="12" t="s">
        <v>105</v>
      </c>
      <c r="C2" s="12" t="s">
        <v>107</v>
      </c>
      <c r="D2" s="12" t="s">
        <v>108</v>
      </c>
      <c r="E2" s="12" t="s">
        <v>110</v>
      </c>
      <c r="F2" s="12" t="s">
        <v>106</v>
      </c>
    </row>
    <row r="3" spans="1:10" ht="15.6" x14ac:dyDescent="0.25">
      <c r="A3" s="14">
        <v>1</v>
      </c>
      <c r="B3" s="14" t="s">
        <v>112</v>
      </c>
      <c r="C3" s="26" t="s">
        <v>343</v>
      </c>
      <c r="D3" s="14" t="s">
        <v>109</v>
      </c>
      <c r="E3" s="14" t="s">
        <v>111</v>
      </c>
      <c r="F3" s="23">
        <v>4</v>
      </c>
      <c r="G3" s="13"/>
      <c r="H3" s="13"/>
      <c r="I3" s="13"/>
    </row>
    <row r="4" spans="1:10" ht="15.6" x14ac:dyDescent="0.25">
      <c r="A4" s="14">
        <v>2</v>
      </c>
      <c r="B4" s="14" t="s">
        <v>127</v>
      </c>
      <c r="C4" s="16" t="s">
        <v>113</v>
      </c>
      <c r="D4" s="14" t="s">
        <v>109</v>
      </c>
      <c r="E4" s="14" t="s">
        <v>111</v>
      </c>
      <c r="F4" s="23">
        <v>3</v>
      </c>
      <c r="G4" s="13"/>
      <c r="H4" s="13"/>
      <c r="I4" s="13"/>
    </row>
    <row r="5" spans="1:10" ht="15.6" x14ac:dyDescent="0.25">
      <c r="A5" s="14">
        <v>3</v>
      </c>
      <c r="B5" s="14" t="s">
        <v>116</v>
      </c>
      <c r="C5" s="17" t="s">
        <v>115</v>
      </c>
      <c r="D5" s="18" t="s">
        <v>126</v>
      </c>
      <c r="E5" s="14" t="s">
        <v>111</v>
      </c>
      <c r="F5" s="23">
        <v>4</v>
      </c>
      <c r="G5" s="13"/>
      <c r="H5" s="13"/>
      <c r="I5" s="13"/>
    </row>
    <row r="6" spans="1:10" ht="15.6" x14ac:dyDescent="0.25">
      <c r="A6" s="14">
        <v>4</v>
      </c>
      <c r="B6" s="14" t="s">
        <v>117</v>
      </c>
      <c r="C6" s="16" t="s">
        <v>129</v>
      </c>
      <c r="D6" s="14" t="s">
        <v>109</v>
      </c>
      <c r="E6" s="14" t="s">
        <v>111</v>
      </c>
      <c r="F6" s="23">
        <v>4</v>
      </c>
      <c r="G6" s="13"/>
      <c r="H6" s="13"/>
      <c r="I6" s="13"/>
    </row>
    <row r="7" spans="1:10" ht="15.6" x14ac:dyDescent="0.25">
      <c r="A7" s="14">
        <v>5</v>
      </c>
      <c r="B7" s="14" t="s">
        <v>118</v>
      </c>
      <c r="C7" s="16" t="s">
        <v>130</v>
      </c>
      <c r="D7" s="14" t="s">
        <v>109</v>
      </c>
      <c r="E7" s="14" t="s">
        <v>111</v>
      </c>
      <c r="F7" s="23">
        <v>18</v>
      </c>
      <c r="G7" s="13"/>
      <c r="H7" s="13"/>
      <c r="I7" s="13"/>
    </row>
    <row r="8" spans="1:10" ht="15.6" x14ac:dyDescent="0.25">
      <c r="A8" s="14">
        <v>6</v>
      </c>
      <c r="B8" s="14" t="s">
        <v>128</v>
      </c>
      <c r="C8" s="16" t="s">
        <v>131</v>
      </c>
      <c r="D8" s="14" t="s">
        <v>109</v>
      </c>
      <c r="E8" s="14" t="s">
        <v>111</v>
      </c>
      <c r="F8" s="23">
        <v>0</v>
      </c>
      <c r="G8" s="13"/>
      <c r="H8" s="13"/>
      <c r="I8" s="13"/>
      <c r="J8" s="13"/>
    </row>
    <row r="9" spans="1:10" ht="15.6" x14ac:dyDescent="0.25">
      <c r="A9" s="14">
        <v>7</v>
      </c>
      <c r="B9" s="14" t="s">
        <v>373</v>
      </c>
      <c r="C9" s="16" t="s">
        <v>283</v>
      </c>
      <c r="D9" s="14" t="s">
        <v>109</v>
      </c>
      <c r="E9" s="14" t="s">
        <v>111</v>
      </c>
      <c r="F9" s="23">
        <v>1</v>
      </c>
      <c r="G9" s="13"/>
      <c r="H9" s="13"/>
      <c r="I9" s="13"/>
      <c r="J9" s="13"/>
    </row>
    <row r="10" spans="1:10" ht="15.6" x14ac:dyDescent="0.25">
      <c r="A10" s="14">
        <v>8</v>
      </c>
      <c r="B10" s="14" t="s">
        <v>119</v>
      </c>
      <c r="C10" s="17" t="s">
        <v>129</v>
      </c>
      <c r="D10" s="14" t="s">
        <v>109</v>
      </c>
      <c r="E10" s="14" t="s">
        <v>111</v>
      </c>
      <c r="F10" s="23">
        <v>12</v>
      </c>
      <c r="G10" s="13"/>
      <c r="H10" s="13"/>
      <c r="I10" s="13"/>
    </row>
    <row r="11" spans="1:10" ht="15.6" x14ac:dyDescent="0.25">
      <c r="A11" s="14">
        <v>9</v>
      </c>
      <c r="B11" s="14" t="s">
        <v>120</v>
      </c>
      <c r="C11" s="17" t="s">
        <v>115</v>
      </c>
      <c r="D11" s="14" t="s">
        <v>109</v>
      </c>
      <c r="E11" s="14" t="s">
        <v>111</v>
      </c>
      <c r="F11" s="23">
        <v>34</v>
      </c>
      <c r="G11" s="13"/>
      <c r="H11" s="13"/>
      <c r="I11" s="13"/>
    </row>
    <row r="12" spans="1:10" ht="15.6" x14ac:dyDescent="0.25">
      <c r="A12" s="14">
        <v>10</v>
      </c>
      <c r="B12" s="14" t="s">
        <v>121</v>
      </c>
      <c r="C12" s="17" t="s">
        <v>132</v>
      </c>
      <c r="D12" s="14" t="s">
        <v>109</v>
      </c>
      <c r="E12" s="14" t="s">
        <v>111</v>
      </c>
      <c r="F12" s="23">
        <v>12</v>
      </c>
      <c r="G12" s="13"/>
      <c r="H12" s="13"/>
      <c r="I12" s="13"/>
    </row>
    <row r="13" spans="1:10" ht="15.6" x14ac:dyDescent="0.25">
      <c r="A13" s="14">
        <v>11</v>
      </c>
      <c r="B13" s="14" t="s">
        <v>122</v>
      </c>
      <c r="C13" s="17" t="s">
        <v>113</v>
      </c>
      <c r="D13" s="14" t="s">
        <v>109</v>
      </c>
      <c r="E13" s="14" t="s">
        <v>111</v>
      </c>
      <c r="F13" s="23">
        <v>1</v>
      </c>
      <c r="G13" s="13"/>
      <c r="H13" s="13"/>
      <c r="I13" s="13"/>
    </row>
    <row r="14" spans="1:10" ht="15.6" x14ac:dyDescent="0.25">
      <c r="A14" s="14">
        <v>12</v>
      </c>
      <c r="B14" s="14" t="s">
        <v>123</v>
      </c>
      <c r="C14" s="17" t="s">
        <v>113</v>
      </c>
      <c r="D14" s="14" t="s">
        <v>109</v>
      </c>
      <c r="E14" s="14" t="s">
        <v>111</v>
      </c>
      <c r="F14" s="23">
        <v>1</v>
      </c>
      <c r="G14" s="13"/>
      <c r="H14" s="13"/>
      <c r="I14" s="13"/>
    </row>
    <row r="15" spans="1:10" ht="15.6" x14ac:dyDescent="0.25">
      <c r="A15" s="14">
        <v>13</v>
      </c>
      <c r="B15" s="14" t="s">
        <v>136</v>
      </c>
      <c r="C15" s="17" t="s">
        <v>136</v>
      </c>
      <c r="D15" s="14" t="s">
        <v>109</v>
      </c>
      <c r="E15" s="14" t="s">
        <v>111</v>
      </c>
      <c r="F15" s="23">
        <v>9</v>
      </c>
      <c r="G15" s="13"/>
      <c r="H15" s="13"/>
      <c r="I15" s="13"/>
    </row>
    <row r="16" spans="1:10" ht="15.6" x14ac:dyDescent="0.25">
      <c r="A16" s="14">
        <v>14</v>
      </c>
      <c r="B16" s="14" t="s">
        <v>124</v>
      </c>
      <c r="C16" s="17" t="s">
        <v>133</v>
      </c>
      <c r="D16" s="14" t="s">
        <v>109</v>
      </c>
      <c r="E16" s="14" t="s">
        <v>111</v>
      </c>
      <c r="F16" s="23">
        <v>5</v>
      </c>
      <c r="G16" s="13"/>
      <c r="H16" s="13"/>
      <c r="I16" s="13"/>
    </row>
    <row r="17" spans="1:9" ht="15.6" x14ac:dyDescent="0.25">
      <c r="A17" s="14">
        <v>15</v>
      </c>
      <c r="B17" s="14" t="s">
        <v>135</v>
      </c>
      <c r="C17" s="17" t="s">
        <v>135</v>
      </c>
      <c r="D17" s="14" t="s">
        <v>109</v>
      </c>
      <c r="E17" s="14" t="s">
        <v>111</v>
      </c>
      <c r="F17" s="23">
        <v>141</v>
      </c>
      <c r="G17" s="13"/>
      <c r="H17" s="13"/>
      <c r="I17" s="13"/>
    </row>
    <row r="18" spans="1:9" ht="15.6" x14ac:dyDescent="0.25">
      <c r="A18" s="14">
        <v>16</v>
      </c>
      <c r="B18" s="14" t="s">
        <v>125</v>
      </c>
      <c r="C18" s="17" t="s">
        <v>134</v>
      </c>
      <c r="D18" s="14" t="s">
        <v>109</v>
      </c>
      <c r="E18" s="14" t="s">
        <v>111</v>
      </c>
      <c r="F18" s="23">
        <v>4</v>
      </c>
      <c r="G18" s="13"/>
      <c r="H18" s="13"/>
      <c r="I18" s="13"/>
    </row>
    <row r="19" spans="1:9" ht="15.6" x14ac:dyDescent="0.25">
      <c r="A19" s="14">
        <v>17</v>
      </c>
      <c r="B19" s="19" t="s">
        <v>137</v>
      </c>
      <c r="C19" s="17" t="s">
        <v>340</v>
      </c>
      <c r="D19" s="14" t="s">
        <v>156</v>
      </c>
      <c r="E19" s="14" t="s">
        <v>111</v>
      </c>
      <c r="F19" s="20">
        <v>6</v>
      </c>
      <c r="G19" s="13"/>
      <c r="H19" s="13"/>
      <c r="I19" s="13"/>
    </row>
    <row r="20" spans="1:9" ht="15.6" x14ac:dyDescent="0.25">
      <c r="A20" s="14">
        <v>18</v>
      </c>
      <c r="B20" s="19" t="s">
        <v>138</v>
      </c>
      <c r="C20" s="17" t="s">
        <v>299</v>
      </c>
      <c r="D20" s="14" t="s">
        <v>156</v>
      </c>
      <c r="E20" s="14" t="s">
        <v>111</v>
      </c>
      <c r="F20" s="20">
        <v>56</v>
      </c>
      <c r="G20" s="13"/>
      <c r="H20" s="13"/>
      <c r="I20" s="13"/>
    </row>
    <row r="21" spans="1:9" ht="15.6" x14ac:dyDescent="0.25">
      <c r="A21" s="14">
        <v>19</v>
      </c>
      <c r="B21" s="19" t="s">
        <v>139</v>
      </c>
      <c r="C21" s="17" t="s">
        <v>300</v>
      </c>
      <c r="D21" s="14" t="s">
        <v>156</v>
      </c>
      <c r="E21" s="14" t="s">
        <v>111</v>
      </c>
      <c r="F21" s="20">
        <v>50</v>
      </c>
      <c r="G21" s="13"/>
      <c r="H21" s="13"/>
      <c r="I21" s="13"/>
    </row>
    <row r="22" spans="1:9" ht="15.6" x14ac:dyDescent="0.25">
      <c r="A22" s="14">
        <v>20</v>
      </c>
      <c r="B22" s="19" t="s">
        <v>140</v>
      </c>
      <c r="C22" s="17" t="s">
        <v>300</v>
      </c>
      <c r="D22" s="14" t="s">
        <v>156</v>
      </c>
      <c r="E22" s="14" t="s">
        <v>111</v>
      </c>
      <c r="F22" s="20">
        <v>50</v>
      </c>
      <c r="G22" s="13"/>
      <c r="H22" s="13"/>
      <c r="I22" s="13"/>
    </row>
    <row r="23" spans="1:9" ht="15.6" x14ac:dyDescent="0.25">
      <c r="A23" s="14">
        <v>21</v>
      </c>
      <c r="B23" s="19" t="s">
        <v>141</v>
      </c>
      <c r="C23" s="17" t="s">
        <v>301</v>
      </c>
      <c r="D23" s="14" t="s">
        <v>156</v>
      </c>
      <c r="E23" s="14" t="s">
        <v>111</v>
      </c>
      <c r="F23" s="20">
        <v>15</v>
      </c>
      <c r="G23" s="13"/>
      <c r="H23" s="13"/>
      <c r="I23" s="13"/>
    </row>
    <row r="24" spans="1:9" ht="15.6" x14ac:dyDescent="0.25">
      <c r="A24" s="14">
        <v>22</v>
      </c>
      <c r="B24" s="19" t="s">
        <v>142</v>
      </c>
      <c r="C24" s="25" t="s">
        <v>302</v>
      </c>
      <c r="D24" s="14" t="s">
        <v>156</v>
      </c>
      <c r="E24" s="14" t="s">
        <v>111</v>
      </c>
      <c r="F24" s="20">
        <v>29</v>
      </c>
      <c r="G24" s="13"/>
      <c r="H24" s="13"/>
      <c r="I24" s="13"/>
    </row>
    <row r="25" spans="1:9" ht="15.6" x14ac:dyDescent="0.25">
      <c r="A25" s="14">
        <v>23</v>
      </c>
      <c r="B25" s="19" t="s">
        <v>143</v>
      </c>
      <c r="C25" s="17" t="s">
        <v>303</v>
      </c>
      <c r="D25" s="14" t="s">
        <v>156</v>
      </c>
      <c r="E25" s="14" t="s">
        <v>111</v>
      </c>
      <c r="F25" s="20">
        <v>66</v>
      </c>
      <c r="G25" s="13"/>
      <c r="H25" s="13"/>
      <c r="I25" s="13"/>
    </row>
    <row r="26" spans="1:9" ht="15.6" x14ac:dyDescent="0.25">
      <c r="A26" s="14">
        <v>24</v>
      </c>
      <c r="B26" s="19" t="s">
        <v>144</v>
      </c>
      <c r="C26" s="17" t="s">
        <v>304</v>
      </c>
      <c r="D26" s="14" t="s">
        <v>156</v>
      </c>
      <c r="E26" s="14" t="s">
        <v>111</v>
      </c>
      <c r="F26" s="20">
        <v>90</v>
      </c>
      <c r="G26" s="13"/>
      <c r="H26" s="13"/>
      <c r="I26" s="13"/>
    </row>
    <row r="27" spans="1:9" ht="15.6" x14ac:dyDescent="0.25">
      <c r="A27" s="14">
        <v>25</v>
      </c>
      <c r="B27" s="19" t="s">
        <v>145</v>
      </c>
      <c r="C27" s="17" t="s">
        <v>306</v>
      </c>
      <c r="D27" s="14" t="s">
        <v>156</v>
      </c>
      <c r="E27" s="14" t="s">
        <v>111</v>
      </c>
      <c r="F27" s="20">
        <v>69</v>
      </c>
      <c r="G27" s="13"/>
      <c r="H27" s="13"/>
      <c r="I27" s="13"/>
    </row>
    <row r="28" spans="1:9" ht="15.6" x14ac:dyDescent="0.25">
      <c r="A28" s="14">
        <v>26</v>
      </c>
      <c r="B28" s="19" t="s">
        <v>146</v>
      </c>
      <c r="C28" s="17" t="s">
        <v>305</v>
      </c>
      <c r="D28" s="14" t="s">
        <v>156</v>
      </c>
      <c r="E28" s="14" t="s">
        <v>111</v>
      </c>
      <c r="F28" s="20">
        <v>50</v>
      </c>
      <c r="G28" s="13"/>
      <c r="H28" s="13"/>
      <c r="I28" s="13"/>
    </row>
    <row r="29" spans="1:9" ht="15.6" x14ac:dyDescent="0.25">
      <c r="A29" s="14">
        <v>27</v>
      </c>
      <c r="B29" s="19" t="s">
        <v>147</v>
      </c>
      <c r="C29" s="17" t="s">
        <v>306</v>
      </c>
      <c r="D29" s="14" t="s">
        <v>156</v>
      </c>
      <c r="E29" s="14" t="s">
        <v>111</v>
      </c>
      <c r="F29" s="20">
        <v>4</v>
      </c>
      <c r="G29" s="13"/>
      <c r="H29" s="13"/>
      <c r="I29" s="13"/>
    </row>
    <row r="30" spans="1:9" ht="15.6" x14ac:dyDescent="0.25">
      <c r="A30" s="14">
        <v>28</v>
      </c>
      <c r="B30" s="19" t="s">
        <v>148</v>
      </c>
      <c r="C30" s="17" t="s">
        <v>307</v>
      </c>
      <c r="D30" s="14" t="s">
        <v>156</v>
      </c>
      <c r="E30" s="14" t="s">
        <v>111</v>
      </c>
      <c r="F30" s="20">
        <v>3</v>
      </c>
      <c r="G30" s="13"/>
      <c r="H30" s="13"/>
      <c r="I30" s="13"/>
    </row>
    <row r="31" spans="1:9" ht="15.6" x14ac:dyDescent="0.25">
      <c r="A31" s="14">
        <v>29</v>
      </c>
      <c r="B31" s="19" t="s">
        <v>149</v>
      </c>
      <c r="C31" s="17" t="s">
        <v>308</v>
      </c>
      <c r="D31" s="14" t="s">
        <v>156</v>
      </c>
      <c r="E31" s="14" t="s">
        <v>111</v>
      </c>
      <c r="F31" s="20">
        <v>15</v>
      </c>
      <c r="G31" s="13"/>
      <c r="H31" s="13"/>
      <c r="I31" s="13"/>
    </row>
    <row r="32" spans="1:9" ht="15.6" x14ac:dyDescent="0.25">
      <c r="A32" s="14">
        <v>30</v>
      </c>
      <c r="B32" s="19" t="s">
        <v>150</v>
      </c>
      <c r="C32" s="17" t="s">
        <v>308</v>
      </c>
      <c r="D32" s="14" t="s">
        <v>156</v>
      </c>
      <c r="E32" s="14" t="s">
        <v>111</v>
      </c>
      <c r="F32" s="20">
        <v>34</v>
      </c>
      <c r="G32" s="13"/>
      <c r="H32" s="13"/>
      <c r="I32" s="13"/>
    </row>
    <row r="33" spans="1:9" ht="15.6" x14ac:dyDescent="0.25">
      <c r="A33" s="14">
        <v>31</v>
      </c>
      <c r="B33" s="19" t="s">
        <v>151</v>
      </c>
      <c r="C33" s="17" t="s">
        <v>182</v>
      </c>
      <c r="D33" s="14" t="s">
        <v>156</v>
      </c>
      <c r="E33" s="14" t="s">
        <v>111</v>
      </c>
      <c r="F33" s="20">
        <v>300</v>
      </c>
      <c r="G33" s="13"/>
      <c r="H33" s="13"/>
      <c r="I33" s="13"/>
    </row>
    <row r="34" spans="1:9" ht="15.6" x14ac:dyDescent="0.25">
      <c r="A34" s="14">
        <v>32</v>
      </c>
      <c r="B34" s="19" t="s">
        <v>152</v>
      </c>
      <c r="C34" s="17" t="s">
        <v>306</v>
      </c>
      <c r="D34" s="14" t="s">
        <v>156</v>
      </c>
      <c r="E34" s="14" t="s">
        <v>111</v>
      </c>
      <c r="F34" s="20">
        <v>35</v>
      </c>
      <c r="G34" s="13"/>
      <c r="H34" s="13"/>
      <c r="I34" s="13"/>
    </row>
    <row r="35" spans="1:9" ht="15.6" x14ac:dyDescent="0.25">
      <c r="A35" s="14">
        <v>33</v>
      </c>
      <c r="B35" s="19" t="s">
        <v>153</v>
      </c>
      <c r="C35" s="17" t="s">
        <v>309</v>
      </c>
      <c r="D35" s="14" t="s">
        <v>156</v>
      </c>
      <c r="E35" s="14" t="s">
        <v>111</v>
      </c>
      <c r="F35" s="20">
        <v>5</v>
      </c>
      <c r="G35" s="13"/>
      <c r="H35" s="13"/>
      <c r="I35" s="13"/>
    </row>
    <row r="36" spans="1:9" ht="15.6" x14ac:dyDescent="0.25">
      <c r="A36" s="14">
        <v>34</v>
      </c>
      <c r="B36" s="19" t="s">
        <v>154</v>
      </c>
      <c r="C36" s="17" t="s">
        <v>309</v>
      </c>
      <c r="D36" s="14" t="s">
        <v>156</v>
      </c>
      <c r="E36" s="14" t="s">
        <v>111</v>
      </c>
      <c r="F36" s="20">
        <v>5</v>
      </c>
      <c r="G36" s="13"/>
      <c r="H36" s="13"/>
      <c r="I36" s="13"/>
    </row>
    <row r="37" spans="1:9" ht="15.6" x14ac:dyDescent="0.25">
      <c r="A37" s="14">
        <v>35</v>
      </c>
      <c r="B37" s="19" t="s">
        <v>155</v>
      </c>
      <c r="C37" s="17" t="s">
        <v>310</v>
      </c>
      <c r="D37" s="14" t="s">
        <v>156</v>
      </c>
      <c r="E37" s="14" t="s">
        <v>111</v>
      </c>
      <c r="F37" s="20">
        <v>100</v>
      </c>
      <c r="G37" s="13"/>
      <c r="H37" s="13"/>
      <c r="I37" s="13"/>
    </row>
    <row r="38" spans="1:9" ht="15.6" x14ac:dyDescent="0.25">
      <c r="A38" s="14">
        <v>36</v>
      </c>
      <c r="B38" s="19" t="s">
        <v>157</v>
      </c>
      <c r="C38" s="17" t="s">
        <v>311</v>
      </c>
      <c r="D38" s="14" t="s">
        <v>156</v>
      </c>
      <c r="E38" s="14" t="s">
        <v>111</v>
      </c>
      <c r="F38" s="20">
        <v>24</v>
      </c>
      <c r="G38" s="13"/>
      <c r="H38" s="13"/>
      <c r="I38" s="13"/>
    </row>
    <row r="39" spans="1:9" ht="15.6" x14ac:dyDescent="0.25">
      <c r="A39" s="14">
        <v>37</v>
      </c>
      <c r="B39" s="19" t="s">
        <v>158</v>
      </c>
      <c r="C39" s="17" t="s">
        <v>316</v>
      </c>
      <c r="D39" s="14" t="s">
        <v>156</v>
      </c>
      <c r="E39" s="14" t="s">
        <v>111</v>
      </c>
      <c r="F39" s="20">
        <v>8</v>
      </c>
      <c r="G39" s="13"/>
      <c r="H39" s="13"/>
      <c r="I39" s="13"/>
    </row>
    <row r="40" spans="1:9" ht="15.6" x14ac:dyDescent="0.25">
      <c r="A40" s="14">
        <v>38</v>
      </c>
      <c r="B40" s="19" t="s">
        <v>159</v>
      </c>
      <c r="C40" s="17" t="s">
        <v>312</v>
      </c>
      <c r="D40" s="14" t="s">
        <v>156</v>
      </c>
      <c r="E40" s="14" t="s">
        <v>111</v>
      </c>
      <c r="F40" s="20">
        <v>49</v>
      </c>
      <c r="G40" s="13"/>
      <c r="H40" s="13"/>
      <c r="I40" s="13"/>
    </row>
    <row r="41" spans="1:9" ht="15.6" x14ac:dyDescent="0.25">
      <c r="A41" s="14">
        <v>39</v>
      </c>
      <c r="B41" s="19" t="s">
        <v>164</v>
      </c>
      <c r="C41" s="17" t="s">
        <v>315</v>
      </c>
      <c r="D41" s="14" t="s">
        <v>156</v>
      </c>
      <c r="E41" s="14" t="s">
        <v>111</v>
      </c>
      <c r="F41" s="20">
        <v>40</v>
      </c>
      <c r="G41" s="13"/>
      <c r="H41" s="13"/>
      <c r="I41" s="13"/>
    </row>
    <row r="42" spans="1:9" ht="15.6" x14ac:dyDescent="0.25">
      <c r="A42" s="14">
        <v>40</v>
      </c>
      <c r="B42" s="19" t="s">
        <v>165</v>
      </c>
      <c r="C42" s="17" t="s">
        <v>315</v>
      </c>
      <c r="D42" s="14" t="s">
        <v>156</v>
      </c>
      <c r="E42" s="14" t="s">
        <v>111</v>
      </c>
      <c r="F42" s="20">
        <v>25</v>
      </c>
      <c r="G42" s="13"/>
      <c r="H42" s="13"/>
      <c r="I42" s="13"/>
    </row>
    <row r="43" spans="1:9" ht="15.6" x14ac:dyDescent="0.25">
      <c r="A43" s="14">
        <v>41</v>
      </c>
      <c r="B43" s="19" t="s">
        <v>166</v>
      </c>
      <c r="C43" s="17" t="s">
        <v>318</v>
      </c>
      <c r="D43" s="14" t="s">
        <v>156</v>
      </c>
      <c r="E43" s="14" t="s">
        <v>111</v>
      </c>
      <c r="F43" s="20">
        <v>21</v>
      </c>
      <c r="G43" s="13"/>
      <c r="H43" s="13"/>
      <c r="I43" s="13"/>
    </row>
    <row r="44" spans="1:9" ht="15.6" x14ac:dyDescent="0.25">
      <c r="A44" s="14">
        <v>42</v>
      </c>
      <c r="B44" s="19" t="s">
        <v>317</v>
      </c>
      <c r="C44" s="25" t="s">
        <v>319</v>
      </c>
      <c r="D44" s="14" t="s">
        <v>156</v>
      </c>
      <c r="E44" s="14" t="s">
        <v>111</v>
      </c>
      <c r="F44" s="20">
        <v>34</v>
      </c>
      <c r="G44" s="13"/>
      <c r="H44" s="13"/>
      <c r="I44" s="13"/>
    </row>
    <row r="45" spans="1:9" ht="15.6" x14ac:dyDescent="0.25">
      <c r="A45" s="14">
        <v>43</v>
      </c>
      <c r="B45" s="19" t="s">
        <v>167</v>
      </c>
      <c r="C45" s="17" t="s">
        <v>313</v>
      </c>
      <c r="D45" s="14" t="s">
        <v>156</v>
      </c>
      <c r="E45" s="14" t="s">
        <v>111</v>
      </c>
      <c r="F45" s="20">
        <v>32</v>
      </c>
      <c r="G45" s="13"/>
      <c r="H45" s="13"/>
      <c r="I45" s="13"/>
    </row>
    <row r="46" spans="1:9" ht="15.6" x14ac:dyDescent="0.25">
      <c r="A46" s="14">
        <v>44</v>
      </c>
      <c r="B46" s="19" t="s">
        <v>168</v>
      </c>
      <c r="C46" s="17" t="s">
        <v>314</v>
      </c>
      <c r="D46" s="14" t="s">
        <v>156</v>
      </c>
      <c r="E46" s="14" t="s">
        <v>111</v>
      </c>
      <c r="F46" s="20">
        <v>1</v>
      </c>
      <c r="G46" s="13"/>
      <c r="H46" s="13"/>
      <c r="I46" s="13"/>
    </row>
    <row r="47" spans="1:9" ht="15.6" x14ac:dyDescent="0.25">
      <c r="A47" s="14">
        <v>45</v>
      </c>
      <c r="B47" s="19" t="s">
        <v>169</v>
      </c>
      <c r="C47" s="17" t="s">
        <v>314</v>
      </c>
      <c r="D47" s="14" t="s">
        <v>156</v>
      </c>
      <c r="E47" s="14" t="s">
        <v>111</v>
      </c>
      <c r="F47" s="20">
        <v>9</v>
      </c>
      <c r="G47" s="13"/>
      <c r="H47" s="13"/>
      <c r="I47" s="13"/>
    </row>
    <row r="48" spans="1:9" ht="15.6" x14ac:dyDescent="0.25">
      <c r="A48" s="14">
        <v>46</v>
      </c>
      <c r="B48" s="19" t="s">
        <v>170</v>
      </c>
      <c r="C48" s="17" t="s">
        <v>320</v>
      </c>
      <c r="D48" s="14" t="s">
        <v>161</v>
      </c>
      <c r="E48" s="14" t="s">
        <v>111</v>
      </c>
      <c r="F48" s="20">
        <v>9</v>
      </c>
      <c r="G48" s="13"/>
      <c r="H48" s="13"/>
      <c r="I48" s="13"/>
    </row>
    <row r="49" spans="1:9" ht="15.6" x14ac:dyDescent="0.25">
      <c r="A49" s="14">
        <v>47</v>
      </c>
      <c r="B49" s="19" t="s">
        <v>171</v>
      </c>
      <c r="C49" s="17" t="s">
        <v>321</v>
      </c>
      <c r="D49" s="14" t="s">
        <v>161</v>
      </c>
      <c r="E49" s="14" t="s">
        <v>111</v>
      </c>
      <c r="F49" s="20">
        <v>10</v>
      </c>
      <c r="G49" s="13"/>
      <c r="H49" s="13"/>
      <c r="I49" s="13"/>
    </row>
    <row r="50" spans="1:9" ht="15.6" x14ac:dyDescent="0.25">
      <c r="A50" s="14">
        <v>48</v>
      </c>
      <c r="B50" s="19" t="s">
        <v>172</v>
      </c>
      <c r="C50" s="17" t="s">
        <v>322</v>
      </c>
      <c r="D50" s="14" t="s">
        <v>161</v>
      </c>
      <c r="E50" s="14" t="s">
        <v>111</v>
      </c>
      <c r="F50" s="20">
        <v>4</v>
      </c>
      <c r="G50" s="13"/>
      <c r="H50" s="13"/>
      <c r="I50" s="13"/>
    </row>
    <row r="51" spans="1:9" ht="15.6" x14ac:dyDescent="0.25">
      <c r="A51" s="14">
        <v>49</v>
      </c>
      <c r="B51" s="19" t="s">
        <v>173</v>
      </c>
      <c r="C51" s="17" t="s">
        <v>323</v>
      </c>
      <c r="D51" s="14" t="s">
        <v>161</v>
      </c>
      <c r="E51" s="14" t="s">
        <v>111</v>
      </c>
      <c r="F51" s="20">
        <v>8</v>
      </c>
      <c r="G51" s="13"/>
      <c r="H51" s="13"/>
      <c r="I51" s="13"/>
    </row>
    <row r="52" spans="1:9" ht="15.6" x14ac:dyDescent="0.25">
      <c r="A52" s="14">
        <v>50</v>
      </c>
      <c r="B52" s="19" t="s">
        <v>160</v>
      </c>
      <c r="C52" s="17" t="s">
        <v>324</v>
      </c>
      <c r="D52" s="14" t="s">
        <v>161</v>
      </c>
      <c r="E52" s="14" t="s">
        <v>111</v>
      </c>
      <c r="F52" s="20">
        <v>17</v>
      </c>
      <c r="G52" s="13"/>
      <c r="H52" s="13"/>
      <c r="I52" s="13"/>
    </row>
    <row r="53" spans="1:9" ht="15.6" x14ac:dyDescent="0.25">
      <c r="A53" s="14">
        <v>51</v>
      </c>
      <c r="B53" s="19" t="s">
        <v>174</v>
      </c>
      <c r="C53" s="17" t="s">
        <v>308</v>
      </c>
      <c r="D53" s="14" t="s">
        <v>161</v>
      </c>
      <c r="E53" s="14" t="s">
        <v>111</v>
      </c>
      <c r="F53" s="20">
        <v>51</v>
      </c>
      <c r="G53" s="13"/>
      <c r="H53" s="13"/>
      <c r="I53" s="13"/>
    </row>
    <row r="54" spans="1:9" ht="15.6" x14ac:dyDescent="0.25">
      <c r="A54" s="14">
        <v>52</v>
      </c>
      <c r="B54" s="19" t="s">
        <v>175</v>
      </c>
      <c r="C54" s="17" t="s">
        <v>325</v>
      </c>
      <c r="D54" s="14" t="s">
        <v>161</v>
      </c>
      <c r="E54" s="14" t="s">
        <v>111</v>
      </c>
      <c r="F54" s="20">
        <v>1</v>
      </c>
      <c r="G54" s="13"/>
      <c r="H54" s="13"/>
      <c r="I54" s="13"/>
    </row>
    <row r="55" spans="1:9" ht="15.6" x14ac:dyDescent="0.25">
      <c r="A55" s="14">
        <v>53</v>
      </c>
      <c r="B55" s="19" t="s">
        <v>176</v>
      </c>
      <c r="C55" s="17" t="s">
        <v>297</v>
      </c>
      <c r="D55" s="14" t="s">
        <v>162</v>
      </c>
      <c r="E55" s="14" t="s">
        <v>111</v>
      </c>
      <c r="F55" s="20">
        <v>20</v>
      </c>
      <c r="G55" s="13"/>
      <c r="H55" s="13"/>
      <c r="I55" s="13"/>
    </row>
    <row r="56" spans="1:9" ht="15.6" x14ac:dyDescent="0.25">
      <c r="A56" s="14">
        <v>54</v>
      </c>
      <c r="B56" s="19" t="s">
        <v>178</v>
      </c>
      <c r="C56" s="17" t="s">
        <v>180</v>
      </c>
      <c r="D56" s="14" t="s">
        <v>162</v>
      </c>
      <c r="E56" s="14" t="s">
        <v>111</v>
      </c>
      <c r="F56" s="20">
        <v>7</v>
      </c>
      <c r="G56" s="13"/>
      <c r="H56" s="13"/>
      <c r="I56" s="13"/>
    </row>
    <row r="57" spans="1:9" ht="15.6" x14ac:dyDescent="0.25">
      <c r="A57" s="14">
        <v>55</v>
      </c>
      <c r="B57" s="19" t="s">
        <v>177</v>
      </c>
      <c r="C57" s="17" t="s">
        <v>298</v>
      </c>
      <c r="D57" s="14" t="s">
        <v>162</v>
      </c>
      <c r="E57" s="14" t="s">
        <v>111</v>
      </c>
      <c r="F57" s="20">
        <v>10</v>
      </c>
      <c r="G57" s="13"/>
      <c r="H57" s="13"/>
      <c r="I57" s="13"/>
    </row>
    <row r="58" spans="1:9" ht="15.6" x14ac:dyDescent="0.25">
      <c r="A58" s="14">
        <v>56</v>
      </c>
      <c r="B58" s="19" t="s">
        <v>200</v>
      </c>
      <c r="C58" s="17" t="s">
        <v>179</v>
      </c>
      <c r="D58" s="14" t="s">
        <v>162</v>
      </c>
      <c r="E58" s="14" t="s">
        <v>111</v>
      </c>
      <c r="F58" s="20">
        <v>10</v>
      </c>
      <c r="G58" s="13"/>
      <c r="H58" s="13"/>
      <c r="I58" s="13"/>
    </row>
    <row r="59" spans="1:9" ht="15.6" x14ac:dyDescent="0.25">
      <c r="A59" s="14">
        <v>57</v>
      </c>
      <c r="B59" s="19" t="s">
        <v>188</v>
      </c>
      <c r="C59" s="21" t="s">
        <v>188</v>
      </c>
      <c r="D59" s="14" t="s">
        <v>181</v>
      </c>
      <c r="E59" s="14" t="s">
        <v>111</v>
      </c>
      <c r="F59" s="20">
        <v>4</v>
      </c>
      <c r="G59" s="13"/>
      <c r="H59" s="13"/>
      <c r="I59" s="13"/>
    </row>
    <row r="60" spans="1:9" ht="15.6" x14ac:dyDescent="0.25">
      <c r="A60" s="14">
        <v>58</v>
      </c>
      <c r="B60" s="19" t="s">
        <v>184</v>
      </c>
      <c r="C60" s="17" t="s">
        <v>185</v>
      </c>
      <c r="D60" s="14" t="s">
        <v>181</v>
      </c>
      <c r="E60" s="14" t="s">
        <v>111</v>
      </c>
      <c r="F60" s="20">
        <v>25</v>
      </c>
      <c r="G60" s="13"/>
      <c r="H60" s="13"/>
      <c r="I60" s="13"/>
    </row>
    <row r="61" spans="1:9" ht="15.6" x14ac:dyDescent="0.25">
      <c r="A61" s="14">
        <v>59</v>
      </c>
      <c r="B61" s="19" t="s">
        <v>183</v>
      </c>
      <c r="C61" s="21" t="s">
        <v>183</v>
      </c>
      <c r="D61" s="14" t="s">
        <v>181</v>
      </c>
      <c r="E61" s="14" t="s">
        <v>111</v>
      </c>
      <c r="F61" s="20">
        <v>4</v>
      </c>
      <c r="G61" s="13"/>
      <c r="H61" s="13"/>
      <c r="I61" s="13"/>
    </row>
    <row r="62" spans="1:9" ht="15.6" x14ac:dyDescent="0.25">
      <c r="A62" s="14">
        <v>60</v>
      </c>
      <c r="B62" s="19" t="s">
        <v>166</v>
      </c>
      <c r="C62" s="17" t="s">
        <v>189</v>
      </c>
      <c r="D62" s="14" t="s">
        <v>181</v>
      </c>
      <c r="E62" s="14" t="s">
        <v>111</v>
      </c>
      <c r="F62" s="20">
        <v>14</v>
      </c>
      <c r="G62" s="13"/>
      <c r="H62" s="13"/>
      <c r="I62" s="13"/>
    </row>
    <row r="63" spans="1:9" ht="15.6" x14ac:dyDescent="0.25">
      <c r="A63" s="14">
        <v>61</v>
      </c>
      <c r="B63" s="19" t="s">
        <v>190</v>
      </c>
      <c r="C63" s="17" t="s">
        <v>190</v>
      </c>
      <c r="D63" s="14" t="s">
        <v>181</v>
      </c>
      <c r="E63" s="14" t="s">
        <v>111</v>
      </c>
      <c r="F63" s="20">
        <v>4</v>
      </c>
      <c r="G63" s="13"/>
      <c r="H63" s="13"/>
      <c r="I63" s="13"/>
    </row>
    <row r="64" spans="1:9" ht="15.6" x14ac:dyDescent="0.25">
      <c r="A64" s="14">
        <v>62</v>
      </c>
      <c r="B64" s="14" t="s">
        <v>191</v>
      </c>
      <c r="C64" s="17" t="s">
        <v>192</v>
      </c>
      <c r="D64" s="14" t="s">
        <v>181</v>
      </c>
      <c r="E64" s="14" t="s">
        <v>111</v>
      </c>
      <c r="F64" s="22">
        <v>6</v>
      </c>
      <c r="G64" s="13"/>
      <c r="H64" s="13"/>
      <c r="I64" s="13"/>
    </row>
    <row r="65" spans="1:9" ht="15.6" x14ac:dyDescent="0.25">
      <c r="A65" s="14">
        <v>63</v>
      </c>
      <c r="B65" s="14" t="s">
        <v>163</v>
      </c>
      <c r="C65" s="17" t="s">
        <v>163</v>
      </c>
      <c r="D65" s="14" t="s">
        <v>181</v>
      </c>
      <c r="E65" s="14" t="s">
        <v>111</v>
      </c>
      <c r="F65" s="22">
        <v>11</v>
      </c>
      <c r="G65" s="13"/>
      <c r="H65" s="13"/>
      <c r="I65" s="13"/>
    </row>
    <row r="66" spans="1:9" ht="15.6" x14ac:dyDescent="0.25">
      <c r="A66" s="14">
        <v>64</v>
      </c>
      <c r="B66" s="14" t="s">
        <v>182</v>
      </c>
      <c r="C66" s="17" t="s">
        <v>193</v>
      </c>
      <c r="D66" s="14" t="s">
        <v>181</v>
      </c>
      <c r="E66" s="14" t="s">
        <v>111</v>
      </c>
      <c r="F66" s="22">
        <v>9</v>
      </c>
      <c r="G66" s="13"/>
      <c r="H66" s="13"/>
      <c r="I66" s="13"/>
    </row>
    <row r="67" spans="1:9" ht="15.6" x14ac:dyDescent="0.25">
      <c r="A67" s="14">
        <v>65</v>
      </c>
      <c r="B67" s="14" t="s">
        <v>194</v>
      </c>
      <c r="C67" s="17" t="s">
        <v>195</v>
      </c>
      <c r="D67" s="14" t="s">
        <v>181</v>
      </c>
      <c r="E67" s="14" t="s">
        <v>111</v>
      </c>
      <c r="F67" s="22">
        <v>4</v>
      </c>
      <c r="G67" s="13"/>
      <c r="H67" s="13"/>
      <c r="I67" s="13"/>
    </row>
    <row r="68" spans="1:9" ht="15.6" x14ac:dyDescent="0.25">
      <c r="A68" s="14">
        <v>66</v>
      </c>
      <c r="B68" s="14" t="s">
        <v>196</v>
      </c>
      <c r="C68" s="17" t="s">
        <v>197</v>
      </c>
      <c r="D68" s="14" t="s">
        <v>181</v>
      </c>
      <c r="E68" s="14" t="s">
        <v>111</v>
      </c>
      <c r="F68" s="22">
        <v>13</v>
      </c>
      <c r="G68" s="13"/>
      <c r="H68" s="13"/>
      <c r="I68" s="13"/>
    </row>
    <row r="69" spans="1:9" ht="15.6" x14ac:dyDescent="0.25">
      <c r="A69" s="14">
        <v>67</v>
      </c>
      <c r="B69" s="14" t="s">
        <v>186</v>
      </c>
      <c r="C69" s="17" t="s">
        <v>187</v>
      </c>
      <c r="D69" s="14" t="s">
        <v>181</v>
      </c>
      <c r="E69" s="14" t="s">
        <v>111</v>
      </c>
      <c r="F69" s="22">
        <v>8</v>
      </c>
      <c r="G69" s="13"/>
      <c r="H69" s="13"/>
      <c r="I69" s="13"/>
    </row>
    <row r="70" spans="1:9" ht="15.6" x14ac:dyDescent="0.25">
      <c r="A70" s="14">
        <v>68</v>
      </c>
      <c r="B70" s="14" t="s">
        <v>198</v>
      </c>
      <c r="C70" s="17" t="s">
        <v>199</v>
      </c>
      <c r="D70" s="14" t="s">
        <v>181</v>
      </c>
      <c r="E70" s="14" t="s">
        <v>111</v>
      </c>
      <c r="F70" s="22">
        <v>2</v>
      </c>
      <c r="G70" s="13"/>
      <c r="H70" s="13"/>
      <c r="I70" s="13"/>
    </row>
    <row r="71" spans="1:9" ht="15.6" x14ac:dyDescent="0.25">
      <c r="A71" s="14">
        <v>69</v>
      </c>
      <c r="B71" s="14" t="s">
        <v>201</v>
      </c>
      <c r="C71" s="17" t="s">
        <v>331</v>
      </c>
      <c r="D71" s="14" t="s">
        <v>181</v>
      </c>
      <c r="E71" s="14" t="s">
        <v>111</v>
      </c>
      <c r="F71" s="22">
        <v>11</v>
      </c>
      <c r="G71" s="13"/>
      <c r="H71" s="13"/>
      <c r="I71" s="13"/>
    </row>
    <row r="72" spans="1:9" ht="15.6" x14ac:dyDescent="0.25">
      <c r="A72" s="14">
        <v>70</v>
      </c>
      <c r="B72" s="14" t="s">
        <v>205</v>
      </c>
      <c r="C72" s="17" t="s">
        <v>330</v>
      </c>
      <c r="D72" s="14" t="s">
        <v>181</v>
      </c>
      <c r="E72" s="14" t="s">
        <v>111</v>
      </c>
      <c r="F72" s="22">
        <v>9</v>
      </c>
      <c r="G72" s="13"/>
      <c r="H72" s="13"/>
      <c r="I72" s="13"/>
    </row>
    <row r="73" spans="1:9" ht="15.6" x14ac:dyDescent="0.25">
      <c r="A73" s="14">
        <v>71</v>
      </c>
      <c r="B73" s="14" t="s">
        <v>204</v>
      </c>
      <c r="C73" s="17" t="s">
        <v>332</v>
      </c>
      <c r="D73" s="14" t="s">
        <v>181</v>
      </c>
      <c r="E73" s="14" t="s">
        <v>111</v>
      </c>
      <c r="F73" s="22">
        <v>10</v>
      </c>
      <c r="G73" s="13"/>
      <c r="H73" s="13"/>
      <c r="I73" s="13"/>
    </row>
    <row r="74" spans="1:9" ht="15.6" x14ac:dyDescent="0.25">
      <c r="A74" s="14">
        <v>72</v>
      </c>
      <c r="B74" s="14" t="s">
        <v>206</v>
      </c>
      <c r="C74" s="17" t="s">
        <v>326</v>
      </c>
      <c r="D74" s="14" t="s">
        <v>181</v>
      </c>
      <c r="E74" s="14" t="s">
        <v>111</v>
      </c>
      <c r="F74" s="22">
        <v>22</v>
      </c>
      <c r="G74" s="13"/>
      <c r="H74" s="13"/>
      <c r="I74" s="13"/>
    </row>
    <row r="75" spans="1:9" ht="15.6" x14ac:dyDescent="0.25">
      <c r="A75" s="14">
        <v>73</v>
      </c>
      <c r="B75" s="14" t="s">
        <v>207</v>
      </c>
      <c r="C75" s="17" t="s">
        <v>326</v>
      </c>
      <c r="D75" s="14" t="s">
        <v>181</v>
      </c>
      <c r="E75" s="14" t="s">
        <v>111</v>
      </c>
      <c r="F75" s="22">
        <v>4</v>
      </c>
      <c r="G75" s="13"/>
      <c r="H75" s="13"/>
      <c r="I75" s="13"/>
    </row>
    <row r="76" spans="1:9" ht="15.6" x14ac:dyDescent="0.25">
      <c r="A76" s="14">
        <v>74</v>
      </c>
      <c r="B76" s="14" t="s">
        <v>209</v>
      </c>
      <c r="C76" s="17" t="s">
        <v>327</v>
      </c>
      <c r="D76" s="14" t="s">
        <v>181</v>
      </c>
      <c r="E76" s="14" t="s">
        <v>111</v>
      </c>
      <c r="F76" s="22">
        <v>41</v>
      </c>
      <c r="G76" s="13"/>
      <c r="H76" s="13"/>
      <c r="I76" s="13"/>
    </row>
    <row r="77" spans="1:9" ht="15.6" x14ac:dyDescent="0.25">
      <c r="A77" s="14">
        <v>75</v>
      </c>
      <c r="B77" s="14" t="s">
        <v>210</v>
      </c>
      <c r="C77" s="17" t="s">
        <v>327</v>
      </c>
      <c r="D77" s="14" t="s">
        <v>181</v>
      </c>
      <c r="E77" s="14" t="s">
        <v>111</v>
      </c>
      <c r="F77" s="24">
        <v>62</v>
      </c>
      <c r="G77" s="13"/>
      <c r="H77" s="13"/>
      <c r="I77" s="13"/>
    </row>
    <row r="78" spans="1:9" ht="15.6" x14ac:dyDescent="0.25">
      <c r="A78" s="14">
        <v>76</v>
      </c>
      <c r="B78" s="18" t="s">
        <v>211</v>
      </c>
      <c r="C78" s="17" t="s">
        <v>362</v>
      </c>
      <c r="D78" s="14" t="s">
        <v>181</v>
      </c>
      <c r="E78" s="14" t="s">
        <v>111</v>
      </c>
      <c r="F78" s="24">
        <v>40</v>
      </c>
      <c r="G78" s="13"/>
      <c r="H78" s="13"/>
      <c r="I78" s="13"/>
    </row>
    <row r="79" spans="1:9" ht="15.6" x14ac:dyDescent="0.25">
      <c r="A79" s="14">
        <v>77</v>
      </c>
      <c r="B79" s="18" t="s">
        <v>212</v>
      </c>
      <c r="C79" s="17" t="s">
        <v>328</v>
      </c>
      <c r="D79" s="14" t="s">
        <v>181</v>
      </c>
      <c r="E79" s="14" t="s">
        <v>111</v>
      </c>
      <c r="F79" s="24">
        <v>40</v>
      </c>
      <c r="G79" s="13"/>
      <c r="H79" s="13"/>
      <c r="I79" s="13"/>
    </row>
    <row r="80" spans="1:9" ht="15.6" x14ac:dyDescent="0.25">
      <c r="A80" s="14">
        <v>78</v>
      </c>
      <c r="B80" s="18" t="s">
        <v>344</v>
      </c>
      <c r="C80" s="17" t="s">
        <v>328</v>
      </c>
      <c r="D80" s="14" t="s">
        <v>181</v>
      </c>
      <c r="E80" s="14" t="s">
        <v>111</v>
      </c>
      <c r="F80" s="24">
        <v>4</v>
      </c>
      <c r="G80" s="13"/>
      <c r="H80" s="13"/>
      <c r="I80" s="13"/>
    </row>
    <row r="81" spans="1:9" ht="15.6" x14ac:dyDescent="0.25">
      <c r="A81" s="14">
        <v>79</v>
      </c>
      <c r="B81" s="18" t="s">
        <v>213</v>
      </c>
      <c r="C81" s="17" t="s">
        <v>333</v>
      </c>
      <c r="D81" s="14" t="s">
        <v>181</v>
      </c>
      <c r="E81" s="14" t="s">
        <v>111</v>
      </c>
      <c r="F81" s="24">
        <v>16</v>
      </c>
      <c r="G81" s="13"/>
      <c r="H81" s="13"/>
      <c r="I81" s="13"/>
    </row>
    <row r="82" spans="1:9" ht="15.6" x14ac:dyDescent="0.25">
      <c r="A82" s="14">
        <v>80</v>
      </c>
      <c r="B82" s="18" t="s">
        <v>214</v>
      </c>
      <c r="C82" s="17" t="s">
        <v>334</v>
      </c>
      <c r="D82" s="14" t="s">
        <v>181</v>
      </c>
      <c r="E82" s="14" t="s">
        <v>111</v>
      </c>
      <c r="F82" s="24">
        <v>3</v>
      </c>
      <c r="G82" s="13"/>
      <c r="H82" s="13"/>
      <c r="I82" s="13"/>
    </row>
    <row r="83" spans="1:9" ht="15.6" x14ac:dyDescent="0.25">
      <c r="A83" s="14">
        <v>81</v>
      </c>
      <c r="B83" s="18" t="s">
        <v>215</v>
      </c>
      <c r="C83" s="17" t="s">
        <v>335</v>
      </c>
      <c r="D83" s="14" t="s">
        <v>181</v>
      </c>
      <c r="E83" s="14" t="s">
        <v>111</v>
      </c>
      <c r="F83" s="24">
        <v>2</v>
      </c>
      <c r="G83" s="13"/>
      <c r="H83" s="13"/>
      <c r="I83" s="13"/>
    </row>
    <row r="84" spans="1:9" ht="15.6" x14ac:dyDescent="0.25">
      <c r="A84" s="14">
        <v>82</v>
      </c>
      <c r="B84" s="18" t="s">
        <v>217</v>
      </c>
      <c r="C84" s="17" t="s">
        <v>336</v>
      </c>
      <c r="D84" s="14" t="s">
        <v>181</v>
      </c>
      <c r="E84" s="14" t="s">
        <v>111</v>
      </c>
      <c r="F84" s="24">
        <v>12</v>
      </c>
      <c r="G84" s="13"/>
      <c r="H84" s="13"/>
      <c r="I84" s="13"/>
    </row>
    <row r="85" spans="1:9" ht="15.6" x14ac:dyDescent="0.25">
      <c r="A85" s="14">
        <v>83</v>
      </c>
      <c r="B85" s="18" t="s">
        <v>218</v>
      </c>
      <c r="C85" s="17" t="s">
        <v>336</v>
      </c>
      <c r="D85" s="14" t="s">
        <v>181</v>
      </c>
      <c r="E85" s="14" t="s">
        <v>111</v>
      </c>
      <c r="F85" s="24">
        <v>6</v>
      </c>
      <c r="G85" s="13"/>
      <c r="H85" s="13"/>
      <c r="I85" s="13"/>
    </row>
    <row r="86" spans="1:9" ht="15.6" x14ac:dyDescent="0.25">
      <c r="A86" s="14">
        <v>84</v>
      </c>
      <c r="B86" s="18" t="s">
        <v>219</v>
      </c>
      <c r="C86" s="17" t="s">
        <v>337</v>
      </c>
      <c r="D86" s="14" t="s">
        <v>181</v>
      </c>
      <c r="E86" s="14" t="s">
        <v>111</v>
      </c>
      <c r="F86" s="24">
        <v>8</v>
      </c>
      <c r="G86" s="13"/>
      <c r="H86" s="13"/>
      <c r="I86" s="13"/>
    </row>
    <row r="87" spans="1:9" ht="15.6" x14ac:dyDescent="0.25">
      <c r="A87" s="14">
        <v>85</v>
      </c>
      <c r="B87" s="18" t="s">
        <v>262</v>
      </c>
      <c r="C87" s="17" t="s">
        <v>345</v>
      </c>
      <c r="D87" s="14" t="s">
        <v>181</v>
      </c>
      <c r="E87" s="14" t="s">
        <v>111</v>
      </c>
      <c r="F87" s="24">
        <v>30</v>
      </c>
      <c r="G87" s="13"/>
      <c r="H87" s="13"/>
      <c r="I87" s="13"/>
    </row>
    <row r="88" spans="1:9" ht="15.6" x14ac:dyDescent="0.25">
      <c r="A88" s="14">
        <v>86</v>
      </c>
      <c r="B88" s="18" t="s">
        <v>220</v>
      </c>
      <c r="C88" s="17" t="s">
        <v>345</v>
      </c>
      <c r="D88" s="14" t="s">
        <v>181</v>
      </c>
      <c r="E88" s="14" t="s">
        <v>111</v>
      </c>
      <c r="F88" s="24">
        <v>9</v>
      </c>
      <c r="G88" s="13"/>
      <c r="H88" s="13"/>
      <c r="I88" s="13"/>
    </row>
    <row r="89" spans="1:9" ht="15.6" x14ac:dyDescent="0.25">
      <c r="A89" s="14">
        <v>87</v>
      </c>
      <c r="B89" s="18" t="s">
        <v>221</v>
      </c>
      <c r="C89" s="17" t="s">
        <v>323</v>
      </c>
      <c r="D89" s="14" t="s">
        <v>181</v>
      </c>
      <c r="E89" s="14" t="s">
        <v>111</v>
      </c>
      <c r="F89" s="24">
        <v>19</v>
      </c>
      <c r="G89" s="13"/>
      <c r="H89" s="13"/>
      <c r="I89" s="13"/>
    </row>
    <row r="90" spans="1:9" ht="15.6" x14ac:dyDescent="0.25">
      <c r="A90" s="14">
        <v>88</v>
      </c>
      <c r="B90" s="18" t="s">
        <v>222</v>
      </c>
      <c r="C90" s="17" t="s">
        <v>323</v>
      </c>
      <c r="D90" s="14" t="s">
        <v>181</v>
      </c>
      <c r="E90" s="14" t="s">
        <v>111</v>
      </c>
      <c r="F90" s="24">
        <v>9</v>
      </c>
      <c r="G90" s="13"/>
      <c r="H90" s="13"/>
      <c r="I90" s="13"/>
    </row>
    <row r="91" spans="1:9" ht="15.6" x14ac:dyDescent="0.25">
      <c r="A91" s="14">
        <v>89</v>
      </c>
      <c r="B91" s="18" t="s">
        <v>223</v>
      </c>
      <c r="C91" s="17" t="s">
        <v>288</v>
      </c>
      <c r="D91" s="14" t="s">
        <v>181</v>
      </c>
      <c r="E91" s="14" t="s">
        <v>111</v>
      </c>
      <c r="F91" s="24">
        <v>42</v>
      </c>
      <c r="G91" s="13"/>
      <c r="H91" s="13"/>
      <c r="I91" s="13"/>
    </row>
    <row r="92" spans="1:9" ht="15.6" x14ac:dyDescent="0.25">
      <c r="A92" s="14">
        <v>90</v>
      </c>
      <c r="B92" s="18" t="s">
        <v>346</v>
      </c>
      <c r="C92" s="17" t="s">
        <v>338</v>
      </c>
      <c r="D92" s="14" t="s">
        <v>181</v>
      </c>
      <c r="E92" s="14" t="s">
        <v>111</v>
      </c>
      <c r="F92" s="24">
        <v>53</v>
      </c>
      <c r="G92" s="13"/>
      <c r="H92" s="13"/>
      <c r="I92" s="13"/>
    </row>
    <row r="93" spans="1:9" ht="15.6" x14ac:dyDescent="0.25">
      <c r="A93" s="14">
        <v>91</v>
      </c>
      <c r="B93" s="18" t="s">
        <v>224</v>
      </c>
      <c r="C93" s="17" t="s">
        <v>338</v>
      </c>
      <c r="D93" s="14" t="s">
        <v>181</v>
      </c>
      <c r="E93" s="14" t="s">
        <v>111</v>
      </c>
      <c r="F93" s="24">
        <v>5</v>
      </c>
      <c r="G93" s="13"/>
      <c r="H93" s="13"/>
      <c r="I93" s="13"/>
    </row>
    <row r="94" spans="1:9" ht="15.6" x14ac:dyDescent="0.25">
      <c r="A94" s="14">
        <v>92</v>
      </c>
      <c r="B94" s="18" t="s">
        <v>225</v>
      </c>
      <c r="C94" s="17" t="s">
        <v>339</v>
      </c>
      <c r="D94" s="14" t="s">
        <v>181</v>
      </c>
      <c r="E94" s="14" t="s">
        <v>111</v>
      </c>
      <c r="F94" s="24">
        <v>13</v>
      </c>
      <c r="G94" s="13"/>
      <c r="H94" s="13"/>
      <c r="I94" s="13"/>
    </row>
    <row r="95" spans="1:9" ht="15.6" x14ac:dyDescent="0.25">
      <c r="A95" s="14">
        <v>93</v>
      </c>
      <c r="B95" s="18" t="s">
        <v>226</v>
      </c>
      <c r="C95" s="17" t="s">
        <v>339</v>
      </c>
      <c r="D95" s="14" t="s">
        <v>181</v>
      </c>
      <c r="E95" s="14" t="s">
        <v>111</v>
      </c>
      <c r="F95" s="24">
        <v>21</v>
      </c>
      <c r="G95" s="13"/>
      <c r="H95" s="13"/>
      <c r="I95" s="13"/>
    </row>
    <row r="96" spans="1:9" ht="15.6" x14ac:dyDescent="0.25">
      <c r="A96" s="14">
        <v>94</v>
      </c>
      <c r="B96" s="18" t="s">
        <v>227</v>
      </c>
      <c r="C96" s="17" t="s">
        <v>341</v>
      </c>
      <c r="D96" s="14" t="s">
        <v>181</v>
      </c>
      <c r="E96" s="14" t="s">
        <v>111</v>
      </c>
      <c r="F96" s="24">
        <v>4</v>
      </c>
      <c r="G96" s="13"/>
      <c r="H96" s="13"/>
      <c r="I96" s="13"/>
    </row>
    <row r="97" spans="1:9" ht="15.6" x14ac:dyDescent="0.25">
      <c r="A97" s="14">
        <v>95</v>
      </c>
      <c r="B97" s="18" t="s">
        <v>228</v>
      </c>
      <c r="C97" s="17" t="s">
        <v>342</v>
      </c>
      <c r="D97" s="14" t="s">
        <v>181</v>
      </c>
      <c r="E97" s="14" t="s">
        <v>111</v>
      </c>
      <c r="F97" s="24">
        <v>4</v>
      </c>
      <c r="G97" s="13"/>
      <c r="H97" s="13"/>
      <c r="I97" s="13"/>
    </row>
    <row r="98" spans="1:9" ht="15.6" x14ac:dyDescent="0.25">
      <c r="A98" s="14">
        <v>96</v>
      </c>
      <c r="B98" s="18" t="s">
        <v>229</v>
      </c>
      <c r="C98" s="17" t="s">
        <v>334</v>
      </c>
      <c r="D98" s="14" t="s">
        <v>181</v>
      </c>
      <c r="E98" s="14" t="s">
        <v>111</v>
      </c>
      <c r="F98" s="24">
        <v>9</v>
      </c>
      <c r="G98" s="13"/>
      <c r="H98" s="13"/>
      <c r="I98" s="13"/>
    </row>
    <row r="99" spans="1:9" ht="15.6" x14ac:dyDescent="0.25">
      <c r="A99" s="14">
        <v>97</v>
      </c>
      <c r="B99" s="18" t="s">
        <v>230</v>
      </c>
      <c r="C99" s="17" t="s">
        <v>341</v>
      </c>
      <c r="D99" s="14" t="s">
        <v>181</v>
      </c>
      <c r="E99" s="14" t="s">
        <v>111</v>
      </c>
      <c r="F99" s="24">
        <v>9</v>
      </c>
      <c r="G99" s="13"/>
      <c r="H99" s="13"/>
      <c r="I99" s="13"/>
    </row>
    <row r="100" spans="1:9" ht="15.6" x14ac:dyDescent="0.25">
      <c r="A100" s="14">
        <v>98</v>
      </c>
      <c r="B100" s="18" t="s">
        <v>231</v>
      </c>
      <c r="C100" s="17" t="s">
        <v>349</v>
      </c>
      <c r="D100" s="14" t="s">
        <v>181</v>
      </c>
      <c r="E100" s="14" t="s">
        <v>111</v>
      </c>
      <c r="F100" s="24">
        <v>32</v>
      </c>
      <c r="G100" s="13"/>
      <c r="H100" s="13"/>
      <c r="I100" s="13"/>
    </row>
    <row r="101" spans="1:9" ht="15.6" x14ac:dyDescent="0.25">
      <c r="A101" s="14">
        <v>99</v>
      </c>
      <c r="B101" s="18" t="s">
        <v>261</v>
      </c>
      <c r="C101" s="17" t="s">
        <v>350</v>
      </c>
      <c r="D101" s="14" t="s">
        <v>181</v>
      </c>
      <c r="E101" s="14" t="s">
        <v>111</v>
      </c>
      <c r="F101" s="24">
        <v>11</v>
      </c>
      <c r="G101" s="13"/>
      <c r="H101" s="13"/>
      <c r="I101" s="13"/>
    </row>
    <row r="102" spans="1:9" ht="15.6" x14ac:dyDescent="0.25">
      <c r="A102" s="14">
        <v>100</v>
      </c>
      <c r="B102" s="18" t="s">
        <v>233</v>
      </c>
      <c r="C102" s="17" t="s">
        <v>351</v>
      </c>
      <c r="D102" s="14" t="s">
        <v>181</v>
      </c>
      <c r="E102" s="14" t="s">
        <v>111</v>
      </c>
      <c r="F102" s="24">
        <v>2</v>
      </c>
      <c r="G102" s="13"/>
      <c r="H102" s="13"/>
      <c r="I102" s="13"/>
    </row>
    <row r="103" spans="1:9" ht="15.6" x14ac:dyDescent="0.25">
      <c r="A103" s="14">
        <v>101</v>
      </c>
      <c r="B103" s="18" t="s">
        <v>234</v>
      </c>
      <c r="C103" s="17" t="s">
        <v>337</v>
      </c>
      <c r="D103" s="14" t="s">
        <v>181</v>
      </c>
      <c r="E103" s="14" t="s">
        <v>111</v>
      </c>
      <c r="F103" s="24">
        <v>10</v>
      </c>
      <c r="G103" s="13"/>
      <c r="H103" s="13"/>
      <c r="I103" s="13"/>
    </row>
    <row r="104" spans="1:9" ht="15.6" x14ac:dyDescent="0.25">
      <c r="A104" s="14">
        <v>102</v>
      </c>
      <c r="B104" s="18" t="s">
        <v>235</v>
      </c>
      <c r="C104" s="17" t="s">
        <v>337</v>
      </c>
      <c r="D104" s="14" t="s">
        <v>181</v>
      </c>
      <c r="E104" s="14" t="s">
        <v>111</v>
      </c>
      <c r="F104" s="24">
        <v>10</v>
      </c>
      <c r="G104" s="13"/>
      <c r="H104" s="13"/>
      <c r="I104" s="13"/>
    </row>
    <row r="105" spans="1:9" ht="15.6" x14ac:dyDescent="0.25">
      <c r="A105" s="14">
        <v>103</v>
      </c>
      <c r="B105" s="18" t="s">
        <v>236</v>
      </c>
      <c r="C105" s="17" t="s">
        <v>349</v>
      </c>
      <c r="D105" s="14" t="s">
        <v>181</v>
      </c>
      <c r="E105" s="14" t="s">
        <v>111</v>
      </c>
      <c r="F105" s="24">
        <v>10</v>
      </c>
      <c r="G105" s="13"/>
      <c r="H105" s="13"/>
      <c r="I105" s="13"/>
    </row>
    <row r="106" spans="1:9" ht="15.6" x14ac:dyDescent="0.25">
      <c r="A106" s="14">
        <v>104</v>
      </c>
      <c r="B106" s="18" t="s">
        <v>237</v>
      </c>
      <c r="C106" s="17" t="s">
        <v>352</v>
      </c>
      <c r="D106" s="14" t="s">
        <v>181</v>
      </c>
      <c r="E106" s="14" t="s">
        <v>111</v>
      </c>
      <c r="F106" s="24">
        <v>11</v>
      </c>
      <c r="G106" s="13"/>
      <c r="H106" s="13"/>
      <c r="I106" s="13"/>
    </row>
    <row r="107" spans="1:9" ht="15.6" x14ac:dyDescent="0.25">
      <c r="A107" s="14">
        <v>105</v>
      </c>
      <c r="B107" s="18" t="s">
        <v>238</v>
      </c>
      <c r="C107" s="17" t="s">
        <v>331</v>
      </c>
      <c r="D107" s="14" t="s">
        <v>181</v>
      </c>
      <c r="E107" s="14" t="s">
        <v>111</v>
      </c>
      <c r="F107" s="24">
        <v>7</v>
      </c>
      <c r="G107" s="13"/>
      <c r="H107" s="13"/>
      <c r="I107" s="13"/>
    </row>
    <row r="108" spans="1:9" ht="15.6" x14ac:dyDescent="0.25">
      <c r="A108" s="14">
        <v>106</v>
      </c>
      <c r="B108" s="18" t="s">
        <v>239</v>
      </c>
      <c r="C108" s="17" t="s">
        <v>353</v>
      </c>
      <c r="D108" s="14" t="s">
        <v>181</v>
      </c>
      <c r="E108" s="14" t="s">
        <v>111</v>
      </c>
      <c r="F108" s="24">
        <v>5</v>
      </c>
      <c r="G108" s="13"/>
      <c r="H108" s="13"/>
      <c r="I108" s="13"/>
    </row>
    <row r="109" spans="1:9" ht="15.6" x14ac:dyDescent="0.25">
      <c r="A109" s="14">
        <v>107</v>
      </c>
      <c r="B109" s="18" t="s">
        <v>240</v>
      </c>
      <c r="C109" s="17" t="s">
        <v>348</v>
      </c>
      <c r="D109" s="14" t="s">
        <v>181</v>
      </c>
      <c r="E109" s="14" t="s">
        <v>111</v>
      </c>
      <c r="F109" s="24">
        <v>15</v>
      </c>
      <c r="G109" s="13"/>
      <c r="H109" s="13"/>
      <c r="I109" s="13"/>
    </row>
    <row r="110" spans="1:9" ht="15.6" x14ac:dyDescent="0.25">
      <c r="A110" s="14">
        <v>108</v>
      </c>
      <c r="B110" s="18" t="s">
        <v>241</v>
      </c>
      <c r="C110" s="27" t="s">
        <v>354</v>
      </c>
      <c r="D110" s="14" t="s">
        <v>181</v>
      </c>
      <c r="E110" s="14" t="s">
        <v>111</v>
      </c>
      <c r="F110" s="24">
        <v>2</v>
      </c>
      <c r="G110" s="13"/>
      <c r="H110" s="13"/>
      <c r="I110" s="13"/>
    </row>
    <row r="111" spans="1:9" ht="15.6" x14ac:dyDescent="0.25">
      <c r="A111" s="14">
        <v>109</v>
      </c>
      <c r="B111" s="18" t="s">
        <v>190</v>
      </c>
      <c r="C111" s="17" t="s">
        <v>190</v>
      </c>
      <c r="D111" s="14" t="s">
        <v>181</v>
      </c>
      <c r="E111" s="14" t="s">
        <v>111</v>
      </c>
      <c r="F111" s="24">
        <v>4</v>
      </c>
      <c r="G111" s="13"/>
      <c r="H111" s="13"/>
      <c r="I111" s="13"/>
    </row>
    <row r="112" spans="1:9" ht="15.6" x14ac:dyDescent="0.25">
      <c r="A112" s="14">
        <v>110</v>
      </c>
      <c r="B112" s="18" t="s">
        <v>242</v>
      </c>
      <c r="C112" s="17" t="s">
        <v>355</v>
      </c>
      <c r="D112" s="14" t="s">
        <v>181</v>
      </c>
      <c r="E112" s="14" t="s">
        <v>111</v>
      </c>
      <c r="F112" s="24">
        <v>47</v>
      </c>
      <c r="G112" s="13"/>
      <c r="H112" s="13"/>
      <c r="I112" s="13"/>
    </row>
    <row r="113" spans="1:9" ht="15.6" x14ac:dyDescent="0.25">
      <c r="A113" s="14">
        <v>111</v>
      </c>
      <c r="B113" s="18" t="s">
        <v>246</v>
      </c>
      <c r="C113" s="17" t="s">
        <v>307</v>
      </c>
      <c r="D113" s="14" t="s">
        <v>181</v>
      </c>
      <c r="E113" s="14" t="s">
        <v>111</v>
      </c>
      <c r="F113" s="24">
        <v>14</v>
      </c>
      <c r="G113" s="13"/>
      <c r="H113" s="13"/>
      <c r="I113" s="13"/>
    </row>
    <row r="114" spans="1:9" ht="15.6" x14ac:dyDescent="0.25">
      <c r="A114" s="14">
        <v>112</v>
      </c>
      <c r="B114" s="18" t="s">
        <v>247</v>
      </c>
      <c r="C114" s="17" t="s">
        <v>357</v>
      </c>
      <c r="D114" s="14" t="s">
        <v>181</v>
      </c>
      <c r="E114" s="14" t="s">
        <v>111</v>
      </c>
      <c r="F114" s="24">
        <v>5</v>
      </c>
      <c r="G114" s="13"/>
      <c r="H114" s="13"/>
      <c r="I114" s="13"/>
    </row>
    <row r="115" spans="1:9" ht="15.6" x14ac:dyDescent="0.25">
      <c r="A115" s="14">
        <v>113</v>
      </c>
      <c r="B115" s="18" t="s">
        <v>249</v>
      </c>
      <c r="C115" s="17" t="s">
        <v>249</v>
      </c>
      <c r="D115" s="14" t="s">
        <v>181</v>
      </c>
      <c r="E115" s="14" t="s">
        <v>111</v>
      </c>
      <c r="F115" s="24">
        <v>2</v>
      </c>
      <c r="G115" s="13"/>
      <c r="H115" s="13"/>
      <c r="I115" s="13"/>
    </row>
    <row r="116" spans="1:9" ht="15.6" x14ac:dyDescent="0.25">
      <c r="A116" s="14">
        <v>114</v>
      </c>
      <c r="B116" s="18" t="s">
        <v>253</v>
      </c>
      <c r="C116" s="17" t="s">
        <v>347</v>
      </c>
      <c r="D116" s="14" t="s">
        <v>181</v>
      </c>
      <c r="E116" s="14" t="s">
        <v>111</v>
      </c>
      <c r="F116" s="24">
        <v>4</v>
      </c>
    </row>
    <row r="117" spans="1:9" ht="15.6" x14ac:dyDescent="0.25">
      <c r="A117" s="14">
        <v>115</v>
      </c>
      <c r="B117" s="18" t="s">
        <v>254</v>
      </c>
      <c r="C117" s="17" t="s">
        <v>356</v>
      </c>
      <c r="D117" s="14" t="s">
        <v>181</v>
      </c>
      <c r="E117" s="14" t="s">
        <v>111</v>
      </c>
      <c r="F117" s="24">
        <v>17</v>
      </c>
    </row>
    <row r="118" spans="1:9" ht="15.6" x14ac:dyDescent="0.25">
      <c r="A118" s="14">
        <v>116</v>
      </c>
      <c r="B118" s="18" t="s">
        <v>255</v>
      </c>
      <c r="C118" s="17" t="s">
        <v>357</v>
      </c>
      <c r="D118" s="14" t="s">
        <v>181</v>
      </c>
      <c r="E118" s="14" t="s">
        <v>111</v>
      </c>
      <c r="F118" s="24">
        <v>28</v>
      </c>
    </row>
    <row r="119" spans="1:9" ht="15.6" x14ac:dyDescent="0.25">
      <c r="A119" s="14">
        <v>117</v>
      </c>
      <c r="B119" s="18" t="s">
        <v>257</v>
      </c>
      <c r="C119" s="17" t="s">
        <v>358</v>
      </c>
      <c r="D119" s="14" t="s">
        <v>181</v>
      </c>
      <c r="E119" s="14" t="s">
        <v>111</v>
      </c>
      <c r="F119" s="24">
        <v>2</v>
      </c>
    </row>
    <row r="120" spans="1:9" ht="15.6" x14ac:dyDescent="0.25">
      <c r="A120" s="14">
        <v>118</v>
      </c>
      <c r="B120" s="18" t="s">
        <v>263</v>
      </c>
      <c r="C120" s="17" t="s">
        <v>359</v>
      </c>
      <c r="D120" s="14" t="s">
        <v>181</v>
      </c>
      <c r="E120" s="14" t="s">
        <v>111</v>
      </c>
      <c r="F120" s="24">
        <v>7</v>
      </c>
    </row>
    <row r="121" spans="1:9" ht="15.6" x14ac:dyDescent="0.25">
      <c r="A121" s="14">
        <v>119</v>
      </c>
      <c r="B121" s="18" t="s">
        <v>264</v>
      </c>
      <c r="C121" s="17" t="s">
        <v>359</v>
      </c>
      <c r="D121" s="14" t="s">
        <v>181</v>
      </c>
      <c r="E121" s="14" t="s">
        <v>111</v>
      </c>
      <c r="F121" s="24">
        <v>30</v>
      </c>
    </row>
    <row r="122" spans="1:9" ht="15.6" x14ac:dyDescent="0.25">
      <c r="A122" s="14">
        <v>120</v>
      </c>
      <c r="B122" s="14" t="s">
        <v>265</v>
      </c>
      <c r="C122" s="17" t="s">
        <v>359</v>
      </c>
      <c r="D122" s="14" t="s">
        <v>181</v>
      </c>
      <c r="E122" s="14" t="s">
        <v>111</v>
      </c>
      <c r="F122" s="22">
        <v>18</v>
      </c>
    </row>
    <row r="123" spans="1:9" ht="15.6" x14ac:dyDescent="0.25">
      <c r="A123" s="14">
        <v>121</v>
      </c>
      <c r="B123" s="14" t="s">
        <v>266</v>
      </c>
      <c r="C123" s="17" t="s">
        <v>359</v>
      </c>
      <c r="D123" s="14" t="s">
        <v>181</v>
      </c>
      <c r="E123" s="14" t="s">
        <v>111</v>
      </c>
      <c r="F123" s="22">
        <v>10</v>
      </c>
    </row>
    <row r="124" spans="1:9" ht="15.6" x14ac:dyDescent="0.25">
      <c r="A124" s="14">
        <v>122</v>
      </c>
      <c r="B124" s="14" t="s">
        <v>267</v>
      </c>
      <c r="C124" s="17" t="s">
        <v>359</v>
      </c>
      <c r="D124" s="14" t="s">
        <v>181</v>
      </c>
      <c r="E124" s="14" t="s">
        <v>111</v>
      </c>
      <c r="F124" s="22">
        <v>9</v>
      </c>
    </row>
    <row r="125" spans="1:9" ht="15.6" x14ac:dyDescent="0.25">
      <c r="A125" s="14">
        <v>123</v>
      </c>
      <c r="B125" s="18" t="s">
        <v>277</v>
      </c>
      <c r="C125" s="17" t="s">
        <v>308</v>
      </c>
      <c r="D125" s="14" t="s">
        <v>181</v>
      </c>
      <c r="E125" s="14" t="s">
        <v>111</v>
      </c>
      <c r="F125" s="24">
        <v>19</v>
      </c>
    </row>
    <row r="126" spans="1:9" ht="15.6" x14ac:dyDescent="0.25">
      <c r="A126" s="14">
        <v>124</v>
      </c>
      <c r="B126" s="18" t="s">
        <v>374</v>
      </c>
      <c r="C126" s="27" t="s">
        <v>375</v>
      </c>
      <c r="D126" s="14" t="s">
        <v>181</v>
      </c>
      <c r="E126" s="14" t="s">
        <v>111</v>
      </c>
      <c r="F126" s="24"/>
    </row>
    <row r="127" spans="1:9" ht="15.6" x14ac:dyDescent="0.25">
      <c r="A127" s="14">
        <v>125</v>
      </c>
      <c r="B127" s="18" t="s">
        <v>376</v>
      </c>
      <c r="C127" s="17" t="s">
        <v>377</v>
      </c>
      <c r="D127" s="14" t="s">
        <v>181</v>
      </c>
      <c r="E127" s="14" t="s">
        <v>111</v>
      </c>
      <c r="F127" s="24"/>
    </row>
    <row r="128" spans="1:9" ht="15.6" x14ac:dyDescent="0.25">
      <c r="A128" s="14">
        <v>126</v>
      </c>
      <c r="B128" s="18" t="s">
        <v>378</v>
      </c>
      <c r="C128" s="28" t="s">
        <v>379</v>
      </c>
      <c r="D128" s="14" t="s">
        <v>181</v>
      </c>
      <c r="E128" s="14" t="s">
        <v>111</v>
      </c>
      <c r="F128" s="24"/>
    </row>
    <row r="129" spans="1:9" ht="15.6" x14ac:dyDescent="0.25">
      <c r="A129" s="14">
        <v>127</v>
      </c>
      <c r="B129" s="18" t="s">
        <v>380</v>
      </c>
      <c r="C129" s="17" t="s">
        <v>348</v>
      </c>
      <c r="D129" s="14" t="s">
        <v>181</v>
      </c>
      <c r="E129" s="14" t="s">
        <v>111</v>
      </c>
      <c r="F129" s="24"/>
    </row>
    <row r="130" spans="1:9" ht="15.6" x14ac:dyDescent="0.25">
      <c r="A130" s="14">
        <v>128</v>
      </c>
      <c r="B130" s="18" t="s">
        <v>381</v>
      </c>
      <c r="C130" s="17" t="s">
        <v>350</v>
      </c>
      <c r="D130" s="14" t="s">
        <v>181</v>
      </c>
      <c r="E130" s="14" t="s">
        <v>111</v>
      </c>
      <c r="F130" s="24"/>
    </row>
    <row r="131" spans="1:9" ht="15.6" x14ac:dyDescent="0.25">
      <c r="A131" s="14">
        <v>129</v>
      </c>
      <c r="B131" s="18" t="s">
        <v>278</v>
      </c>
      <c r="C131" s="17" t="s">
        <v>360</v>
      </c>
      <c r="D131" s="14" t="s">
        <v>181</v>
      </c>
      <c r="E131" s="14" t="s">
        <v>111</v>
      </c>
      <c r="F131" s="24">
        <v>13</v>
      </c>
    </row>
    <row r="132" spans="1:9" ht="15.6" x14ac:dyDescent="0.25">
      <c r="A132" s="14">
        <v>130</v>
      </c>
      <c r="B132" s="18" t="s">
        <v>232</v>
      </c>
      <c r="C132" s="17" t="s">
        <v>361</v>
      </c>
      <c r="D132" s="14" t="s">
        <v>260</v>
      </c>
      <c r="E132" s="14" t="s">
        <v>111</v>
      </c>
      <c r="F132" s="24">
        <v>3</v>
      </c>
    </row>
    <row r="133" spans="1:9" ht="15.6" x14ac:dyDescent="0.25">
      <c r="A133" s="14">
        <v>131</v>
      </c>
      <c r="B133" s="18" t="s">
        <v>245</v>
      </c>
      <c r="C133" s="17" t="s">
        <v>245</v>
      </c>
      <c r="D133" s="14" t="s">
        <v>260</v>
      </c>
      <c r="E133" s="14" t="s">
        <v>111</v>
      </c>
      <c r="F133" s="24">
        <v>26</v>
      </c>
    </row>
    <row r="134" spans="1:9" ht="15.6" x14ac:dyDescent="0.25">
      <c r="A134" s="14">
        <v>132</v>
      </c>
      <c r="B134" s="18" t="s">
        <v>272</v>
      </c>
      <c r="C134" s="17" t="s">
        <v>363</v>
      </c>
      <c r="D134" s="14" t="s">
        <v>260</v>
      </c>
      <c r="E134" s="14" t="s">
        <v>111</v>
      </c>
      <c r="F134" s="24">
        <v>1</v>
      </c>
    </row>
    <row r="135" spans="1:9" ht="15.6" x14ac:dyDescent="0.25">
      <c r="A135" s="14">
        <v>133</v>
      </c>
      <c r="B135" s="18" t="s">
        <v>250</v>
      </c>
      <c r="C135" s="17" t="s">
        <v>364</v>
      </c>
      <c r="D135" s="14" t="s">
        <v>260</v>
      </c>
      <c r="E135" s="14" t="s">
        <v>111</v>
      </c>
      <c r="F135" s="24">
        <v>8</v>
      </c>
      <c r="G135" s="13"/>
      <c r="H135" s="13"/>
      <c r="I135" s="13"/>
    </row>
    <row r="136" spans="1:9" ht="15.6" x14ac:dyDescent="0.25">
      <c r="A136" s="14">
        <v>134</v>
      </c>
      <c r="B136" s="18" t="s">
        <v>251</v>
      </c>
      <c r="C136" s="17" t="s">
        <v>365</v>
      </c>
      <c r="D136" s="14" t="s">
        <v>260</v>
      </c>
      <c r="E136" s="14" t="s">
        <v>111</v>
      </c>
      <c r="F136" s="24">
        <v>36</v>
      </c>
    </row>
    <row r="137" spans="1:9" ht="15.6" x14ac:dyDescent="0.25">
      <c r="A137" s="14">
        <v>135</v>
      </c>
      <c r="B137" s="18" t="s">
        <v>252</v>
      </c>
      <c r="C137" s="17" t="s">
        <v>366</v>
      </c>
      <c r="D137" s="14" t="s">
        <v>260</v>
      </c>
      <c r="E137" s="14" t="s">
        <v>111</v>
      </c>
      <c r="F137" s="24">
        <v>32</v>
      </c>
    </row>
    <row r="138" spans="1:9" ht="15.6" x14ac:dyDescent="0.25">
      <c r="A138" s="14">
        <v>136</v>
      </c>
      <c r="B138" s="18" t="s">
        <v>256</v>
      </c>
      <c r="C138" s="17" t="s">
        <v>367</v>
      </c>
      <c r="D138" s="14" t="s">
        <v>260</v>
      </c>
      <c r="E138" s="14" t="s">
        <v>111</v>
      </c>
      <c r="F138" s="24">
        <v>4</v>
      </c>
    </row>
    <row r="139" spans="1:9" ht="15.6" x14ac:dyDescent="0.25">
      <c r="A139" s="14">
        <v>137</v>
      </c>
      <c r="B139" s="18" t="s">
        <v>243</v>
      </c>
      <c r="C139" s="17" t="s">
        <v>368</v>
      </c>
      <c r="D139" s="14" t="s">
        <v>260</v>
      </c>
      <c r="E139" s="14" t="s">
        <v>111</v>
      </c>
      <c r="F139" s="24">
        <v>30</v>
      </c>
    </row>
    <row r="140" spans="1:9" ht="15.6" x14ac:dyDescent="0.25">
      <c r="A140" s="14">
        <v>138</v>
      </c>
      <c r="B140" s="18" t="s">
        <v>258</v>
      </c>
      <c r="C140" s="17" t="s">
        <v>299</v>
      </c>
      <c r="D140" s="14" t="s">
        <v>260</v>
      </c>
      <c r="E140" s="14" t="s">
        <v>111</v>
      </c>
      <c r="F140" s="24">
        <v>6</v>
      </c>
    </row>
    <row r="141" spans="1:9" ht="15.6" x14ac:dyDescent="0.25">
      <c r="A141" s="14">
        <v>139</v>
      </c>
      <c r="B141" s="18" t="s">
        <v>259</v>
      </c>
      <c r="C141" s="17" t="s">
        <v>300</v>
      </c>
      <c r="D141" s="14" t="s">
        <v>260</v>
      </c>
      <c r="E141" s="14" t="s">
        <v>111</v>
      </c>
      <c r="F141" s="24">
        <v>1</v>
      </c>
    </row>
    <row r="142" spans="1:9" ht="15.6" x14ac:dyDescent="0.25">
      <c r="A142" s="14">
        <v>140</v>
      </c>
      <c r="B142" s="14" t="s">
        <v>202</v>
      </c>
      <c r="C142" s="17" t="s">
        <v>300</v>
      </c>
      <c r="D142" s="14" t="s">
        <v>260</v>
      </c>
      <c r="E142" s="14" t="s">
        <v>111</v>
      </c>
      <c r="F142" s="22">
        <v>10</v>
      </c>
    </row>
    <row r="143" spans="1:9" ht="15.6" x14ac:dyDescent="0.25">
      <c r="A143" s="14">
        <v>141</v>
      </c>
      <c r="B143" s="14" t="s">
        <v>203</v>
      </c>
      <c r="C143" s="17" t="s">
        <v>300</v>
      </c>
      <c r="D143" s="14" t="s">
        <v>260</v>
      </c>
      <c r="E143" s="14" t="s">
        <v>111</v>
      </c>
      <c r="F143" s="22">
        <v>8</v>
      </c>
    </row>
    <row r="144" spans="1:9" ht="15.6" x14ac:dyDescent="0.25">
      <c r="A144" s="14">
        <v>142</v>
      </c>
      <c r="B144" s="14" t="s">
        <v>208</v>
      </c>
      <c r="C144" s="17" t="s">
        <v>300</v>
      </c>
      <c r="D144" s="14" t="s">
        <v>260</v>
      </c>
      <c r="E144" s="14" t="s">
        <v>111</v>
      </c>
      <c r="F144" s="22">
        <v>4</v>
      </c>
    </row>
    <row r="145" spans="1:6" ht="15.6" x14ac:dyDescent="0.25">
      <c r="A145" s="14">
        <v>143</v>
      </c>
      <c r="B145" s="18" t="s">
        <v>271</v>
      </c>
      <c r="C145" s="17" t="s">
        <v>300</v>
      </c>
      <c r="D145" s="14" t="s">
        <v>260</v>
      </c>
      <c r="E145" s="14" t="s">
        <v>111</v>
      </c>
      <c r="F145" s="24">
        <v>9</v>
      </c>
    </row>
    <row r="146" spans="1:6" ht="15.6" x14ac:dyDescent="0.25">
      <c r="A146" s="14">
        <v>144</v>
      </c>
      <c r="B146" s="18" t="s">
        <v>269</v>
      </c>
      <c r="C146" s="17" t="s">
        <v>369</v>
      </c>
      <c r="D146" s="14" t="s">
        <v>260</v>
      </c>
      <c r="E146" s="14" t="s">
        <v>111</v>
      </c>
      <c r="F146" s="24">
        <v>12</v>
      </c>
    </row>
    <row r="147" spans="1:6" ht="15.6" x14ac:dyDescent="0.25">
      <c r="A147" s="14">
        <v>145</v>
      </c>
      <c r="B147" s="18" t="s">
        <v>270</v>
      </c>
      <c r="C147" s="17" t="s">
        <v>369</v>
      </c>
      <c r="D147" s="14" t="s">
        <v>260</v>
      </c>
      <c r="E147" s="14" t="s">
        <v>111</v>
      </c>
      <c r="F147" s="24">
        <v>64</v>
      </c>
    </row>
    <row r="148" spans="1:6" ht="15.6" x14ac:dyDescent="0.25">
      <c r="A148" s="14">
        <v>146</v>
      </c>
      <c r="B148" s="18" t="s">
        <v>268</v>
      </c>
      <c r="C148" s="17" t="s">
        <v>369</v>
      </c>
      <c r="D148" s="14" t="s">
        <v>260</v>
      </c>
      <c r="E148" s="14" t="s">
        <v>111</v>
      </c>
      <c r="F148" s="24">
        <v>12</v>
      </c>
    </row>
    <row r="149" spans="1:6" ht="15.6" x14ac:dyDescent="0.25">
      <c r="A149" s="14">
        <v>147</v>
      </c>
      <c r="B149" s="18" t="s">
        <v>248</v>
      </c>
      <c r="C149" s="17" t="s">
        <v>370</v>
      </c>
      <c r="D149" s="14" t="s">
        <v>260</v>
      </c>
      <c r="E149" s="14" t="s">
        <v>111</v>
      </c>
      <c r="F149" s="24">
        <v>3</v>
      </c>
    </row>
    <row r="150" spans="1:6" ht="15.6" x14ac:dyDescent="0.25">
      <c r="A150" s="14">
        <v>148</v>
      </c>
      <c r="B150" s="18" t="s">
        <v>273</v>
      </c>
      <c r="C150" s="17" t="s">
        <v>305</v>
      </c>
      <c r="D150" s="14" t="s">
        <v>260</v>
      </c>
      <c r="E150" s="14" t="s">
        <v>111</v>
      </c>
      <c r="F150" s="24">
        <v>12</v>
      </c>
    </row>
    <row r="151" spans="1:6" ht="15.6" x14ac:dyDescent="0.25">
      <c r="A151" s="14">
        <v>149</v>
      </c>
      <c r="B151" s="18" t="s">
        <v>274</v>
      </c>
      <c r="C151" s="17" t="s">
        <v>305</v>
      </c>
      <c r="D151" s="14" t="s">
        <v>260</v>
      </c>
      <c r="E151" s="14" t="s">
        <v>111</v>
      </c>
      <c r="F151" s="24">
        <v>1</v>
      </c>
    </row>
    <row r="152" spans="1:6" ht="15.6" x14ac:dyDescent="0.25">
      <c r="A152" s="14">
        <v>150</v>
      </c>
      <c r="B152" s="18" t="s">
        <v>275</v>
      </c>
      <c r="C152" s="17" t="s">
        <v>308</v>
      </c>
      <c r="D152" s="14" t="s">
        <v>260</v>
      </c>
      <c r="E152" s="14" t="s">
        <v>111</v>
      </c>
      <c r="F152" s="24">
        <v>14</v>
      </c>
    </row>
    <row r="153" spans="1:6" ht="15.6" x14ac:dyDescent="0.25">
      <c r="A153" s="14">
        <v>151</v>
      </c>
      <c r="B153" s="18" t="s">
        <v>276</v>
      </c>
      <c r="C153" s="17" t="s">
        <v>308</v>
      </c>
      <c r="D153" s="14" t="s">
        <v>260</v>
      </c>
      <c r="E153" s="14" t="s">
        <v>111</v>
      </c>
      <c r="F153" s="24">
        <v>11</v>
      </c>
    </row>
    <row r="154" spans="1:6" ht="15.6" x14ac:dyDescent="0.25">
      <c r="A154" s="14">
        <v>152</v>
      </c>
      <c r="B154" s="18" t="s">
        <v>372</v>
      </c>
      <c r="C154" s="17" t="s">
        <v>371</v>
      </c>
      <c r="D154" s="14" t="s">
        <v>260</v>
      </c>
      <c r="E154" s="14" t="s">
        <v>111</v>
      </c>
      <c r="F154" s="24">
        <v>1</v>
      </c>
    </row>
    <row r="155" spans="1:6" ht="15.6" x14ac:dyDescent="0.25">
      <c r="A155" s="14">
        <v>153</v>
      </c>
      <c r="B155" s="18" t="s">
        <v>216</v>
      </c>
      <c r="C155" s="17" t="s">
        <v>244</v>
      </c>
      <c r="D155" s="14" t="s">
        <v>260</v>
      </c>
      <c r="E155" s="14" t="s">
        <v>111</v>
      </c>
      <c r="F155" s="24">
        <v>11</v>
      </c>
    </row>
    <row r="156" spans="1:6" ht="15.6" x14ac:dyDescent="0.25">
      <c r="A156" s="14">
        <v>154</v>
      </c>
      <c r="B156" s="18" t="s">
        <v>244</v>
      </c>
      <c r="C156" s="17" t="s">
        <v>244</v>
      </c>
      <c r="D156" s="14" t="s">
        <v>260</v>
      </c>
      <c r="E156" s="14" t="s">
        <v>111</v>
      </c>
      <c r="F156" s="24">
        <v>4</v>
      </c>
    </row>
    <row r="157" spans="1:6" ht="15.6" x14ac:dyDescent="0.25">
      <c r="A157" s="14">
        <v>155</v>
      </c>
      <c r="B157" s="19" t="s">
        <v>279</v>
      </c>
      <c r="C157" s="17" t="s">
        <v>341</v>
      </c>
      <c r="D157" s="18" t="s">
        <v>294</v>
      </c>
      <c r="E157" s="14" t="s">
        <v>111</v>
      </c>
      <c r="F157" s="24">
        <v>26</v>
      </c>
    </row>
    <row r="158" spans="1:6" ht="15.6" x14ac:dyDescent="0.25">
      <c r="A158" s="14">
        <v>156</v>
      </c>
      <c r="B158" s="19" t="s">
        <v>280</v>
      </c>
      <c r="C158" s="17" t="s">
        <v>382</v>
      </c>
      <c r="D158" s="18" t="s">
        <v>294</v>
      </c>
      <c r="E158" s="14" t="s">
        <v>111</v>
      </c>
      <c r="F158" s="24">
        <v>4</v>
      </c>
    </row>
    <row r="159" spans="1:6" ht="15.6" x14ac:dyDescent="0.25">
      <c r="A159" s="14">
        <v>157</v>
      </c>
      <c r="B159" s="19" t="s">
        <v>289</v>
      </c>
      <c r="C159" s="17" t="s">
        <v>197</v>
      </c>
      <c r="D159" s="18" t="s">
        <v>294</v>
      </c>
      <c r="E159" s="14" t="s">
        <v>111</v>
      </c>
      <c r="F159" s="24">
        <v>26</v>
      </c>
    </row>
    <row r="160" spans="1:6" ht="15.6" x14ac:dyDescent="0.25">
      <c r="A160" s="14">
        <v>158</v>
      </c>
      <c r="B160" s="19" t="s">
        <v>281</v>
      </c>
      <c r="C160" s="17" t="s">
        <v>245</v>
      </c>
      <c r="D160" s="18" t="s">
        <v>294</v>
      </c>
      <c r="E160" s="14" t="s">
        <v>111</v>
      </c>
      <c r="F160" s="24">
        <v>1</v>
      </c>
    </row>
    <row r="161" spans="1:6" ht="15.6" x14ac:dyDescent="0.25">
      <c r="A161" s="14">
        <v>159</v>
      </c>
      <c r="B161" s="19" t="s">
        <v>290</v>
      </c>
      <c r="C161" s="17" t="s">
        <v>287</v>
      </c>
      <c r="D161" s="18" t="s">
        <v>294</v>
      </c>
      <c r="E161" s="14" t="s">
        <v>111</v>
      </c>
      <c r="F161" s="24">
        <v>6</v>
      </c>
    </row>
    <row r="162" spans="1:6" ht="15.6" x14ac:dyDescent="0.25">
      <c r="A162" s="14">
        <v>160</v>
      </c>
      <c r="B162" s="19" t="s">
        <v>291</v>
      </c>
      <c r="C162" s="17" t="s">
        <v>287</v>
      </c>
      <c r="D162" s="18" t="s">
        <v>294</v>
      </c>
      <c r="E162" s="14" t="s">
        <v>111</v>
      </c>
      <c r="F162" s="24">
        <v>5</v>
      </c>
    </row>
    <row r="163" spans="1:6" ht="15.6" x14ac:dyDescent="0.25">
      <c r="A163" s="14">
        <v>161</v>
      </c>
      <c r="B163" s="19" t="s">
        <v>197</v>
      </c>
      <c r="C163" s="17" t="s">
        <v>197</v>
      </c>
      <c r="D163" s="18" t="s">
        <v>294</v>
      </c>
      <c r="E163" s="14" t="s">
        <v>111</v>
      </c>
      <c r="F163" s="24">
        <v>3</v>
      </c>
    </row>
    <row r="164" spans="1:6" ht="15.6" x14ac:dyDescent="0.25">
      <c r="A164" s="14">
        <v>162</v>
      </c>
      <c r="B164" s="19" t="s">
        <v>282</v>
      </c>
      <c r="C164" s="17" t="s">
        <v>197</v>
      </c>
      <c r="D164" s="18" t="s">
        <v>294</v>
      </c>
      <c r="E164" s="14" t="s">
        <v>111</v>
      </c>
      <c r="F164" s="24">
        <v>6</v>
      </c>
    </row>
    <row r="165" spans="1:6" ht="15.6" x14ac:dyDescent="0.25">
      <c r="A165" s="14">
        <v>163</v>
      </c>
      <c r="B165" s="19" t="s">
        <v>283</v>
      </c>
      <c r="C165" s="17" t="s">
        <v>283</v>
      </c>
      <c r="D165" s="18" t="s">
        <v>294</v>
      </c>
      <c r="E165" s="14" t="s">
        <v>111</v>
      </c>
      <c r="F165" s="24">
        <v>2</v>
      </c>
    </row>
    <row r="166" spans="1:6" ht="15.6" x14ac:dyDescent="0.25">
      <c r="A166" s="14">
        <v>164</v>
      </c>
      <c r="B166" s="19" t="s">
        <v>284</v>
      </c>
      <c r="C166" s="17" t="s">
        <v>284</v>
      </c>
      <c r="D166" s="18" t="s">
        <v>294</v>
      </c>
      <c r="E166" s="14" t="s">
        <v>111</v>
      </c>
      <c r="F166" s="24">
        <v>5</v>
      </c>
    </row>
    <row r="167" spans="1:6" ht="15.6" x14ac:dyDescent="0.25">
      <c r="A167" s="14">
        <v>165</v>
      </c>
      <c r="B167" s="19" t="s">
        <v>292</v>
      </c>
      <c r="C167" s="17" t="s">
        <v>285</v>
      </c>
      <c r="D167" s="18" t="s">
        <v>294</v>
      </c>
      <c r="E167" s="14" t="s">
        <v>111</v>
      </c>
      <c r="F167" s="24">
        <v>8</v>
      </c>
    </row>
    <row r="168" spans="1:6" ht="15.6" x14ac:dyDescent="0.25">
      <c r="A168" s="14">
        <v>166</v>
      </c>
      <c r="B168" s="19" t="s">
        <v>285</v>
      </c>
      <c r="C168" s="17" t="s">
        <v>285</v>
      </c>
      <c r="D168" s="18" t="s">
        <v>294</v>
      </c>
      <c r="E168" s="14" t="s">
        <v>111</v>
      </c>
      <c r="F168" s="24">
        <v>2</v>
      </c>
    </row>
    <row r="169" spans="1:6" ht="15.6" x14ac:dyDescent="0.25">
      <c r="A169" s="14">
        <v>167</v>
      </c>
      <c r="B169" s="19" t="s">
        <v>293</v>
      </c>
      <c r="C169" s="17" t="s">
        <v>288</v>
      </c>
      <c r="D169" s="18" t="s">
        <v>294</v>
      </c>
      <c r="E169" s="14" t="s">
        <v>111</v>
      </c>
      <c r="F169" s="24">
        <v>3</v>
      </c>
    </row>
    <row r="170" spans="1:6" ht="15.6" x14ac:dyDescent="0.25">
      <c r="A170" s="14">
        <v>168</v>
      </c>
      <c r="B170" s="19" t="s">
        <v>286</v>
      </c>
      <c r="C170" s="17" t="s">
        <v>369</v>
      </c>
      <c r="D170" s="18" t="s">
        <v>294</v>
      </c>
      <c r="E170" s="14" t="s">
        <v>111</v>
      </c>
      <c r="F170" s="24">
        <v>9</v>
      </c>
    </row>
    <row r="171" spans="1:6" ht="15.6" x14ac:dyDescent="0.25">
      <c r="A171" s="14">
        <v>169</v>
      </c>
      <c r="B171" s="18" t="s">
        <v>295</v>
      </c>
      <c r="C171" s="17" t="s">
        <v>296</v>
      </c>
      <c r="D171" s="18" t="s">
        <v>294</v>
      </c>
      <c r="E171" s="18" t="s">
        <v>111</v>
      </c>
      <c r="F171" s="24">
        <v>0</v>
      </c>
    </row>
    <row r="172" spans="1:6" ht="15.6" x14ac:dyDescent="0.25">
      <c r="A172" s="14">
        <v>170</v>
      </c>
      <c r="B172" s="18" t="s">
        <v>329</v>
      </c>
      <c r="C172" s="17" t="s">
        <v>383</v>
      </c>
      <c r="D172" s="18" t="s">
        <v>294</v>
      </c>
      <c r="E172" s="18" t="s">
        <v>111</v>
      </c>
      <c r="F172" s="24">
        <v>0</v>
      </c>
    </row>
    <row r="173" spans="1:6" ht="15.6" x14ac:dyDescent="0.25">
      <c r="A173" s="14">
        <v>171</v>
      </c>
      <c r="B173" s="18" t="s">
        <v>384</v>
      </c>
      <c r="C173" s="17" t="s">
        <v>371</v>
      </c>
      <c r="D173" s="18" t="s">
        <v>294</v>
      </c>
      <c r="E173" s="18" t="s">
        <v>111</v>
      </c>
      <c r="F173" s="24">
        <v>0</v>
      </c>
    </row>
    <row r="174" spans="1:6" ht="15.6" x14ac:dyDescent="0.25">
      <c r="A174" s="14">
        <v>172</v>
      </c>
      <c r="B174" s="18"/>
      <c r="C174" s="17"/>
      <c r="D174" s="18"/>
      <c r="E174" s="18"/>
      <c r="F174" s="15"/>
    </row>
  </sheetData>
  <autoFilter ref="A2:F174" xr:uid="{3BBB7E7D-0B8F-4012-8F04-26B71151946A}"/>
  <dataValidations count="1">
    <dataValidation type="list" allowBlank="1" showInputMessage="1" showErrorMessage="1" sqref="E3:E170" xr:uid="{9AF83A8D-F033-4433-A2BC-F1BE45576867}">
      <formula1>"OPENING,RECEIPT,ISSUE,DISCARD"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8AB6-BB62-48E4-98FE-48E7D14E247E}">
  <sheetPr>
    <tabColor rgb="FFC00000"/>
  </sheetPr>
  <dimension ref="A1:L333"/>
  <sheetViews>
    <sheetView tabSelected="1" zoomScale="110" zoomScaleNormal="110" workbookViewId="0">
      <pane xSplit="4" ySplit="1" topLeftCell="E326" activePane="bottomRight" state="frozen"/>
      <selection pane="topRight" activeCell="D1" sqref="D1"/>
      <selection pane="bottomLeft" activeCell="A2" sqref="A2"/>
      <selection pane="bottomRight" activeCell="B159" sqref="B159"/>
    </sheetView>
  </sheetViews>
  <sheetFormatPr defaultRowHeight="13.2" x14ac:dyDescent="0.25"/>
  <cols>
    <col min="1" max="1" width="8.44140625" style="35" bestFit="1" customWidth="1"/>
    <col min="2" max="2" width="27.77734375" customWidth="1"/>
    <col min="3" max="3" width="22.33203125" customWidth="1"/>
    <col min="4" max="4" width="12.77734375" customWidth="1"/>
    <col min="5" max="5" width="10.109375" customWidth="1"/>
    <col min="6" max="6" width="12.33203125" style="50" customWidth="1"/>
    <col min="7" max="7" width="16.77734375" style="43" customWidth="1"/>
    <col min="8" max="8" width="16.77734375" customWidth="1"/>
    <col min="9" max="9" width="16.77734375" style="42" customWidth="1"/>
  </cols>
  <sheetData>
    <row r="1" spans="1:9" ht="15.6" x14ac:dyDescent="0.25">
      <c r="A1" s="34" t="s">
        <v>390</v>
      </c>
      <c r="B1" s="33" t="s">
        <v>389</v>
      </c>
      <c r="C1" s="33" t="s">
        <v>107</v>
      </c>
      <c r="D1" s="33" t="s">
        <v>108</v>
      </c>
      <c r="E1" s="33" t="s">
        <v>392</v>
      </c>
      <c r="F1" s="51" t="s">
        <v>111</v>
      </c>
      <c r="G1" s="40" t="s">
        <v>386</v>
      </c>
      <c r="H1" s="40" t="s">
        <v>387</v>
      </c>
      <c r="I1" s="41" t="s">
        <v>388</v>
      </c>
    </row>
    <row r="2" spans="1:9" x14ac:dyDescent="0.25">
      <c r="A2" s="35">
        <v>1</v>
      </c>
      <c r="B2" t="s">
        <v>112</v>
      </c>
      <c r="C2" t="s">
        <v>343</v>
      </c>
      <c r="D2" t="s">
        <v>109</v>
      </c>
      <c r="E2" s="37" t="s">
        <v>393</v>
      </c>
      <c r="F2" s="50">
        <v>4</v>
      </c>
      <c r="G2" s="43">
        <f>SUMIFS(TRANSACTION!D:D,TRANSACTION!C:C,Table1[[#This Row],[DESCRIPTION2]])</f>
        <v>20</v>
      </c>
      <c r="H2">
        <f>SUMIFS(TRANSACTION!$E:$E,TRANSACTION!$C:$C,Table1[[#This Row],[DESCRIPTION2]])</f>
        <v>24</v>
      </c>
      <c r="I2" s="42">
        <f>Table1[[#This Row],[OPENING]]+Table1[[#This Row],[RECEIPT]]-Table1[[#This Row],[ISSUANCE]]</f>
        <v>0</v>
      </c>
    </row>
    <row r="3" spans="1:9" x14ac:dyDescent="0.25">
      <c r="A3" s="35">
        <f>IF(Table1[[#This Row],[DESCRIPTION2]]="","",A2+1)</f>
        <v>2</v>
      </c>
      <c r="B3" t="s">
        <v>127</v>
      </c>
      <c r="C3" t="s">
        <v>113</v>
      </c>
      <c r="D3" t="s">
        <v>109</v>
      </c>
      <c r="E3" s="37" t="s">
        <v>393</v>
      </c>
      <c r="F3" s="50">
        <v>1</v>
      </c>
      <c r="G3" s="43">
        <f>SUMIFS(TRANSACTION!D:D,TRANSACTION!C:C,Table1[[#This Row],[DESCRIPTION2]])</f>
        <v>0</v>
      </c>
      <c r="H3">
        <f>SUMIFS(TRANSACTION!$E:$E,TRANSACTION!$C:$C,Table1[[#This Row],[DESCRIPTION2]])</f>
        <v>1</v>
      </c>
      <c r="I3" s="42">
        <f>Table1[[#This Row],[OPENING]]+Table1[[#This Row],[RECEIPT]]-Table1[[#This Row],[ISSUANCE]]</f>
        <v>0</v>
      </c>
    </row>
    <row r="4" spans="1:9" x14ac:dyDescent="0.25">
      <c r="A4" s="35">
        <f>IF(Table1[[#This Row],[DESCRIPTION2]]="","",A3+1)</f>
        <v>3</v>
      </c>
      <c r="B4" t="s">
        <v>116</v>
      </c>
      <c r="C4" t="s">
        <v>115</v>
      </c>
      <c r="D4" t="s">
        <v>126</v>
      </c>
      <c r="E4" s="37" t="s">
        <v>393</v>
      </c>
      <c r="F4" s="50">
        <v>4</v>
      </c>
      <c r="G4" s="43">
        <f>SUMIFS(TRANSACTION!D:D,TRANSACTION!C:C,Table1[[#This Row],[DESCRIPTION2]])</f>
        <v>0</v>
      </c>
      <c r="H4">
        <f>SUMIFS(TRANSACTION!$E:$E,TRANSACTION!$C:$C,Table1[[#This Row],[DESCRIPTION2]])</f>
        <v>4</v>
      </c>
      <c r="I4" s="42">
        <f>Table1[[#This Row],[OPENING]]+Table1[[#This Row],[RECEIPT]]-Table1[[#This Row],[ISSUANCE]]</f>
        <v>0</v>
      </c>
    </row>
    <row r="5" spans="1:9" x14ac:dyDescent="0.25">
      <c r="A5" s="35">
        <f>IF(Table1[[#This Row],[DESCRIPTION2]]="","",A4+1)</f>
        <v>4</v>
      </c>
      <c r="B5" t="s">
        <v>117</v>
      </c>
      <c r="C5" t="s">
        <v>129</v>
      </c>
      <c r="D5" t="s">
        <v>109</v>
      </c>
      <c r="E5" s="37" t="s">
        <v>393</v>
      </c>
      <c r="F5" s="50">
        <v>5</v>
      </c>
      <c r="G5" s="43">
        <f>SUMIFS(TRANSACTION!D:D,TRANSACTION!C:C,Table1[[#This Row],[DESCRIPTION2]])</f>
        <v>24</v>
      </c>
      <c r="H5">
        <f>SUMIFS(TRANSACTION!$E:$E,TRANSACTION!$C:$C,Table1[[#This Row],[DESCRIPTION2]])</f>
        <v>15</v>
      </c>
      <c r="I5" s="42">
        <f>Table1[[#This Row],[OPENING]]+Table1[[#This Row],[RECEIPT]]-Table1[[#This Row],[ISSUANCE]]</f>
        <v>14</v>
      </c>
    </row>
    <row r="6" spans="1:9" x14ac:dyDescent="0.25">
      <c r="A6" s="35">
        <f>IF(Table1[[#This Row],[DESCRIPTION2]]="","",A5+1)</f>
        <v>5</v>
      </c>
      <c r="B6" t="s">
        <v>411</v>
      </c>
      <c r="C6" t="s">
        <v>412</v>
      </c>
      <c r="D6" t="s">
        <v>109</v>
      </c>
      <c r="E6" s="37" t="s">
        <v>393</v>
      </c>
      <c r="F6" s="50">
        <v>17</v>
      </c>
      <c r="G6" s="43">
        <f>SUMIFS(TRANSACTION!D:D,TRANSACTION!C:C,Table1[[#This Row],[DESCRIPTION2]])</f>
        <v>0</v>
      </c>
      <c r="H6">
        <f>SUMIFS(TRANSACTION!$E:$E,TRANSACTION!$C:$C,Table1[[#This Row],[DESCRIPTION2]])</f>
        <v>17</v>
      </c>
      <c r="I6" s="42">
        <f>Table1[[#This Row],[OPENING]]+Table1[[#This Row],[RECEIPT]]-Table1[[#This Row],[ISSUANCE]]</f>
        <v>0</v>
      </c>
    </row>
    <row r="7" spans="1:9" x14ac:dyDescent="0.25">
      <c r="A7" s="35">
        <f>IF(Table1[[#This Row],[DESCRIPTION2]]="","",A6+1)</f>
        <v>6</v>
      </c>
      <c r="B7" t="s">
        <v>128</v>
      </c>
      <c r="C7" t="s">
        <v>131</v>
      </c>
      <c r="D7" t="s">
        <v>109</v>
      </c>
      <c r="E7" s="37" t="s">
        <v>393</v>
      </c>
      <c r="F7" s="50">
        <v>0</v>
      </c>
      <c r="G7" s="43">
        <f>SUMIFS(TRANSACTION!D:D,TRANSACTION!C:C,Table1[[#This Row],[DESCRIPTION2]])</f>
        <v>0</v>
      </c>
      <c r="H7">
        <f>SUMIFS(TRANSACTION!$E:$E,TRANSACTION!$C:$C,Table1[[#This Row],[DESCRIPTION2]])</f>
        <v>0</v>
      </c>
      <c r="I7" s="42">
        <f>Table1[[#This Row],[OPENING]]+Table1[[#This Row],[RECEIPT]]-Table1[[#This Row],[ISSUANCE]]</f>
        <v>0</v>
      </c>
    </row>
    <row r="8" spans="1:9" x14ac:dyDescent="0.25">
      <c r="A8" s="35">
        <f>IF(Table1[[#This Row],[DESCRIPTION2]]="","",A7+1)</f>
        <v>7</v>
      </c>
      <c r="B8" t="s">
        <v>373</v>
      </c>
      <c r="C8" t="s">
        <v>283</v>
      </c>
      <c r="D8" t="s">
        <v>109</v>
      </c>
      <c r="E8" s="37" t="s">
        <v>393</v>
      </c>
      <c r="F8" s="50">
        <v>2</v>
      </c>
      <c r="G8" s="43">
        <f>SUMIFS(TRANSACTION!D:D,TRANSACTION!C:C,Table1[[#This Row],[DESCRIPTION2]])</f>
        <v>60</v>
      </c>
      <c r="H8">
        <f>SUMIFS(TRANSACTION!$E:$E,TRANSACTION!$C:$C,Table1[[#This Row],[DESCRIPTION2]])</f>
        <v>18</v>
      </c>
      <c r="I8" s="42">
        <f>Table1[[#This Row],[OPENING]]+Table1[[#This Row],[RECEIPT]]-Table1[[#This Row],[ISSUANCE]]</f>
        <v>44</v>
      </c>
    </row>
    <row r="9" spans="1:9" x14ac:dyDescent="0.25">
      <c r="A9" s="35">
        <f>IF(Table1[[#This Row],[DESCRIPTION2]]="","",A8+1)</f>
        <v>8</v>
      </c>
      <c r="B9" s="37" t="s">
        <v>482</v>
      </c>
      <c r="C9" t="s">
        <v>129</v>
      </c>
      <c r="D9" t="s">
        <v>109</v>
      </c>
      <c r="E9" s="37" t="s">
        <v>393</v>
      </c>
      <c r="F9" s="50">
        <v>12</v>
      </c>
      <c r="G9" s="43">
        <f>SUMIFS(TRANSACTION!D:D,TRANSACTION!C:C,Table1[[#This Row],[DESCRIPTION2]])</f>
        <v>0</v>
      </c>
      <c r="H9">
        <f>SUMIFS(TRANSACTION!$E:$E,TRANSACTION!$C:$C,Table1[[#This Row],[DESCRIPTION2]])</f>
        <v>12</v>
      </c>
      <c r="I9" s="42">
        <f>Table1[[#This Row],[OPENING]]+Table1[[#This Row],[RECEIPT]]-Table1[[#This Row],[ISSUANCE]]</f>
        <v>0</v>
      </c>
    </row>
    <row r="10" spans="1:9" x14ac:dyDescent="0.25">
      <c r="A10" s="35">
        <f>IF(Table1[[#This Row],[DESCRIPTION2]]="","",A9+1)</f>
        <v>9</v>
      </c>
      <c r="B10" t="s">
        <v>544</v>
      </c>
      <c r="C10" t="s">
        <v>115</v>
      </c>
      <c r="D10" t="s">
        <v>109</v>
      </c>
      <c r="E10" s="37" t="s">
        <v>393</v>
      </c>
      <c r="F10" s="50">
        <v>34</v>
      </c>
      <c r="G10" s="43">
        <f>SUMIFS(TRANSACTION!D:D,TRANSACTION!C:C,Table1[[#This Row],[DESCRIPTION2]])</f>
        <v>60</v>
      </c>
      <c r="H10">
        <f>SUMIFS(TRANSACTION!$E:$E,TRANSACTION!$C:$C,Table1[[#This Row],[DESCRIPTION2]])</f>
        <v>51</v>
      </c>
      <c r="I10" s="42">
        <f>Table1[[#This Row],[OPENING]]+Table1[[#This Row],[RECEIPT]]-Table1[[#This Row],[ISSUANCE]]</f>
        <v>43</v>
      </c>
    </row>
    <row r="11" spans="1:9" x14ac:dyDescent="0.25">
      <c r="A11" s="35">
        <f>IF(Table1[[#This Row],[DESCRIPTION2]]="","",A10+1)</f>
        <v>10</v>
      </c>
      <c r="B11" t="s">
        <v>121</v>
      </c>
      <c r="C11" t="s">
        <v>132</v>
      </c>
      <c r="D11" t="s">
        <v>109</v>
      </c>
      <c r="E11" s="37" t="s">
        <v>393</v>
      </c>
      <c r="F11" s="50">
        <v>12</v>
      </c>
      <c r="G11" s="43">
        <f>SUMIFS(TRANSACTION!D:D,TRANSACTION!C:C,Table1[[#This Row],[DESCRIPTION2]])</f>
        <v>0</v>
      </c>
      <c r="H11">
        <f>SUMIFS(TRANSACTION!$E:$E,TRANSACTION!$C:$C,Table1[[#This Row],[DESCRIPTION2]])</f>
        <v>12</v>
      </c>
      <c r="I11" s="42">
        <f>Table1[[#This Row],[OPENING]]+Table1[[#This Row],[RECEIPT]]-Table1[[#This Row],[ISSUANCE]]</f>
        <v>0</v>
      </c>
    </row>
    <row r="12" spans="1:9" x14ac:dyDescent="0.25">
      <c r="A12" s="35">
        <f>IF(Table1[[#This Row],[DESCRIPTION2]]="","",A11+1)</f>
        <v>11</v>
      </c>
      <c r="B12" t="s">
        <v>122</v>
      </c>
      <c r="C12" t="s">
        <v>113</v>
      </c>
      <c r="D12" t="s">
        <v>109</v>
      </c>
      <c r="E12" s="37" t="s">
        <v>393</v>
      </c>
      <c r="F12" s="50">
        <v>1</v>
      </c>
      <c r="G12" s="43">
        <f>SUMIFS(TRANSACTION!D:D,TRANSACTION!C:C,Table1[[#This Row],[DESCRIPTION2]])</f>
        <v>0</v>
      </c>
      <c r="H12">
        <f>SUMIFS(TRANSACTION!$E:$E,TRANSACTION!$C:$C,Table1[[#This Row],[DESCRIPTION2]])</f>
        <v>1</v>
      </c>
      <c r="I12" s="42">
        <f>Table1[[#This Row],[OPENING]]+Table1[[#This Row],[RECEIPT]]-Table1[[#This Row],[ISSUANCE]]</f>
        <v>0</v>
      </c>
    </row>
    <row r="13" spans="1:9" x14ac:dyDescent="0.25">
      <c r="A13" s="35">
        <f>IF(Table1[[#This Row],[DESCRIPTION2]]="","",A12+1)</f>
        <v>12</v>
      </c>
      <c r="B13" t="s">
        <v>123</v>
      </c>
      <c r="C13" t="s">
        <v>113</v>
      </c>
      <c r="D13" t="s">
        <v>109</v>
      </c>
      <c r="E13" s="37" t="s">
        <v>393</v>
      </c>
      <c r="F13" s="50">
        <v>1</v>
      </c>
      <c r="G13" s="43">
        <f>SUMIFS(TRANSACTION!D:D,TRANSACTION!C:C,Table1[[#This Row],[DESCRIPTION2]])</f>
        <v>0</v>
      </c>
      <c r="H13">
        <f>SUMIFS(TRANSACTION!$E:$E,TRANSACTION!$C:$C,Table1[[#This Row],[DESCRIPTION2]])</f>
        <v>1</v>
      </c>
      <c r="I13" s="42">
        <f>Table1[[#This Row],[OPENING]]+Table1[[#This Row],[RECEIPT]]-Table1[[#This Row],[ISSUANCE]]</f>
        <v>0</v>
      </c>
    </row>
    <row r="14" spans="1:9" x14ac:dyDescent="0.25">
      <c r="A14" s="35">
        <f>IF(Table1[[#This Row],[DESCRIPTION2]]="","",A13+1)</f>
        <v>13</v>
      </c>
      <c r="B14" t="s">
        <v>136</v>
      </c>
      <c r="C14" t="s">
        <v>136</v>
      </c>
      <c r="D14" t="s">
        <v>109</v>
      </c>
      <c r="E14" s="37" t="s">
        <v>393</v>
      </c>
      <c r="F14" s="50">
        <v>9</v>
      </c>
      <c r="G14" s="43">
        <f>SUMIFS(TRANSACTION!D:D,TRANSACTION!C:C,Table1[[#This Row],[DESCRIPTION2]])</f>
        <v>0</v>
      </c>
      <c r="H14">
        <f>SUMIFS(TRANSACTION!$E:$E,TRANSACTION!$C:$C,Table1[[#This Row],[DESCRIPTION2]])</f>
        <v>4</v>
      </c>
      <c r="I14" s="42">
        <f>Table1[[#This Row],[OPENING]]+Table1[[#This Row],[RECEIPT]]-Table1[[#This Row],[ISSUANCE]]</f>
        <v>5</v>
      </c>
    </row>
    <row r="15" spans="1:9" x14ac:dyDescent="0.25">
      <c r="A15" s="35">
        <f>IF(Table1[[#This Row],[DESCRIPTION2]]="","",A14+1)</f>
        <v>14</v>
      </c>
      <c r="B15" t="s">
        <v>124</v>
      </c>
      <c r="C15" t="s">
        <v>133</v>
      </c>
      <c r="D15" t="s">
        <v>109</v>
      </c>
      <c r="E15" s="37" t="s">
        <v>393</v>
      </c>
      <c r="F15" s="50">
        <v>4</v>
      </c>
      <c r="G15" s="43">
        <f>SUMIFS(TRANSACTION!D:D,TRANSACTION!C:C,Table1[[#This Row],[DESCRIPTION2]])</f>
        <v>240</v>
      </c>
      <c r="H15">
        <f>SUMIFS(TRANSACTION!$E:$E,TRANSACTION!$C:$C,Table1[[#This Row],[DESCRIPTION2]])</f>
        <v>171</v>
      </c>
      <c r="I15" s="42">
        <f>Table1[[#This Row],[OPENING]]+Table1[[#This Row],[RECEIPT]]-Table1[[#This Row],[ISSUANCE]]</f>
        <v>73</v>
      </c>
    </row>
    <row r="16" spans="1:9" x14ac:dyDescent="0.25">
      <c r="A16" s="35">
        <f>IF(Table1[[#This Row],[DESCRIPTION2]]="","",A15+1)</f>
        <v>15</v>
      </c>
      <c r="B16" t="s">
        <v>135</v>
      </c>
      <c r="C16" t="s">
        <v>135</v>
      </c>
      <c r="D16" t="s">
        <v>109</v>
      </c>
      <c r="E16" s="37" t="s">
        <v>393</v>
      </c>
      <c r="F16" s="50">
        <v>172</v>
      </c>
      <c r="G16" s="43">
        <f>SUMIFS(TRANSACTION!D:D,TRANSACTION!C:C,Table1[[#This Row],[DESCRIPTION2]])</f>
        <v>0</v>
      </c>
      <c r="H16">
        <f>SUMIFS(TRANSACTION!$E:$E,TRANSACTION!$C:$C,Table1[[#This Row],[DESCRIPTION2]])</f>
        <v>172</v>
      </c>
      <c r="I16" s="42">
        <f>Table1[[#This Row],[OPENING]]+Table1[[#This Row],[RECEIPT]]-Table1[[#This Row],[ISSUANCE]]</f>
        <v>0</v>
      </c>
    </row>
    <row r="17" spans="1:11" x14ac:dyDescent="0.25">
      <c r="A17" s="35">
        <f>IF(Table1[[#This Row],[DESCRIPTION2]]="","",A16+1)</f>
        <v>16</v>
      </c>
      <c r="B17" t="s">
        <v>125</v>
      </c>
      <c r="C17" t="s">
        <v>134</v>
      </c>
      <c r="D17" t="s">
        <v>109</v>
      </c>
      <c r="E17" s="37" t="s">
        <v>393</v>
      </c>
      <c r="F17" s="50">
        <v>4</v>
      </c>
      <c r="G17" s="43">
        <f>SUMIFS(TRANSACTION!D:D,TRANSACTION!C:C,Table1[[#This Row],[DESCRIPTION2]])</f>
        <v>30</v>
      </c>
      <c r="H17">
        <f>SUMIFS(TRANSACTION!$E:$E,TRANSACTION!$C:$C,Table1[[#This Row],[DESCRIPTION2]])</f>
        <v>14</v>
      </c>
      <c r="I17" s="42">
        <f>Table1[[#This Row],[OPENING]]+Table1[[#This Row],[RECEIPT]]-Table1[[#This Row],[ISSUANCE]]</f>
        <v>20</v>
      </c>
    </row>
    <row r="18" spans="1:11" x14ac:dyDescent="0.25">
      <c r="A18" s="35">
        <f>IF(Table1[[#This Row],[DESCRIPTION2]]="","",A17+1)</f>
        <v>17</v>
      </c>
      <c r="B18" t="s">
        <v>137</v>
      </c>
      <c r="C18" t="s">
        <v>340</v>
      </c>
      <c r="D18" t="s">
        <v>156</v>
      </c>
      <c r="E18" s="37" t="s">
        <v>393</v>
      </c>
      <c r="F18" s="50">
        <v>6</v>
      </c>
      <c r="G18" s="43">
        <f>SUMIFS(TRANSACTION!D:D,TRANSACTION!C:C,Table1[[#This Row],[DESCRIPTION2]])</f>
        <v>0</v>
      </c>
      <c r="H18">
        <f>SUMIFS(TRANSACTION!$E:$E,TRANSACTION!$C:$C,Table1[[#This Row],[DESCRIPTION2]])</f>
        <v>6</v>
      </c>
      <c r="I18" s="42">
        <f>Table1[[#This Row],[OPENING]]+Table1[[#This Row],[RECEIPT]]-Table1[[#This Row],[ISSUANCE]]</f>
        <v>0</v>
      </c>
    </row>
    <row r="19" spans="1:11" x14ac:dyDescent="0.25">
      <c r="A19" s="35">
        <f>IF(Table1[[#This Row],[DESCRIPTION2]]="","",A18+1)</f>
        <v>18</v>
      </c>
      <c r="B19" t="s">
        <v>138</v>
      </c>
      <c r="C19" t="s">
        <v>299</v>
      </c>
      <c r="D19" t="s">
        <v>156</v>
      </c>
      <c r="E19" s="37" t="s">
        <v>393</v>
      </c>
      <c r="F19" s="50">
        <v>56</v>
      </c>
      <c r="G19" s="43">
        <f>SUMIFS(TRANSACTION!D:D,TRANSACTION!C:C,Table1[[#This Row],[DESCRIPTION2]])</f>
        <v>125</v>
      </c>
      <c r="H19">
        <f>SUMIFS(TRANSACTION!$E:$E,TRANSACTION!$C:$C,Table1[[#This Row],[DESCRIPTION2]])</f>
        <v>106</v>
      </c>
      <c r="I19" s="42">
        <f>Table1[[#This Row],[OPENING]]+Table1[[#This Row],[RECEIPT]]-Table1[[#This Row],[ISSUANCE]]</f>
        <v>75</v>
      </c>
    </row>
    <row r="20" spans="1:11" x14ac:dyDescent="0.25">
      <c r="A20" s="35">
        <f>IF(Table1[[#This Row],[DESCRIPTION2]]="","",A19+1)</f>
        <v>19</v>
      </c>
      <c r="B20" t="s">
        <v>139</v>
      </c>
      <c r="C20" t="s">
        <v>300</v>
      </c>
      <c r="D20" t="s">
        <v>156</v>
      </c>
      <c r="E20" s="37" t="s">
        <v>393</v>
      </c>
      <c r="F20" s="50">
        <v>64</v>
      </c>
      <c r="G20" s="43">
        <f>SUMIFS(TRANSACTION!D:D,TRANSACTION!C:C,Table1[[#This Row],[DESCRIPTION2]])</f>
        <v>180</v>
      </c>
      <c r="H20">
        <f>SUMIFS(TRANSACTION!$E:$E,TRANSACTION!$C:$C,Table1[[#This Row],[DESCRIPTION2]])</f>
        <v>139</v>
      </c>
      <c r="I20" s="42">
        <f>Table1[[#This Row],[OPENING]]+Table1[[#This Row],[RECEIPT]]-Table1[[#This Row],[ISSUANCE]]</f>
        <v>105</v>
      </c>
    </row>
    <row r="21" spans="1:11" x14ac:dyDescent="0.25">
      <c r="A21" s="35">
        <f>IF(Table1[[#This Row],[DESCRIPTION2]]="","",A20+1)</f>
        <v>20</v>
      </c>
      <c r="B21" t="s">
        <v>140</v>
      </c>
      <c r="C21" t="s">
        <v>300</v>
      </c>
      <c r="D21" t="s">
        <v>156</v>
      </c>
      <c r="E21" s="37" t="s">
        <v>393</v>
      </c>
      <c r="F21" s="50">
        <v>50</v>
      </c>
      <c r="G21" s="43">
        <f>SUMIFS(TRANSACTION!D:D,TRANSACTION!C:C,Table1[[#This Row],[DESCRIPTION2]])</f>
        <v>123</v>
      </c>
      <c r="H21">
        <f>SUMIFS(TRANSACTION!$E:$E,TRANSACTION!$C:$C,Table1[[#This Row],[DESCRIPTION2]])</f>
        <v>100</v>
      </c>
      <c r="I21" s="42">
        <f>Table1[[#This Row],[OPENING]]+Table1[[#This Row],[RECEIPT]]-Table1[[#This Row],[ISSUANCE]]</f>
        <v>73</v>
      </c>
    </row>
    <row r="22" spans="1:11" x14ac:dyDescent="0.25">
      <c r="A22" s="35">
        <f>IF(Table1[[#This Row],[DESCRIPTION2]]="","",A21+1)</f>
        <v>21</v>
      </c>
      <c r="B22" t="s">
        <v>141</v>
      </c>
      <c r="C22" t="s">
        <v>301</v>
      </c>
      <c r="D22" t="s">
        <v>156</v>
      </c>
      <c r="E22" s="37" t="s">
        <v>393</v>
      </c>
      <c r="F22" s="50">
        <v>13</v>
      </c>
      <c r="G22" s="43">
        <f>SUMIFS(TRANSACTION!D:D,TRANSACTION!C:C,Table1[[#This Row],[DESCRIPTION2]])</f>
        <v>0</v>
      </c>
      <c r="H22">
        <f>SUMIFS(TRANSACTION!$E:$E,TRANSACTION!$C:$C,Table1[[#This Row],[DESCRIPTION2]])</f>
        <v>1</v>
      </c>
      <c r="I22" s="42">
        <f>Table1[[#This Row],[OPENING]]+Table1[[#This Row],[RECEIPT]]-Table1[[#This Row],[ISSUANCE]]</f>
        <v>12</v>
      </c>
    </row>
    <row r="23" spans="1:11" x14ac:dyDescent="0.25">
      <c r="A23" s="35">
        <f>IF(Table1[[#This Row],[DESCRIPTION2]]="","",A22+1)</f>
        <v>22</v>
      </c>
      <c r="B23" t="s">
        <v>142</v>
      </c>
      <c r="C23" t="s">
        <v>302</v>
      </c>
      <c r="D23" t="s">
        <v>156</v>
      </c>
      <c r="E23" s="37" t="s">
        <v>393</v>
      </c>
      <c r="F23" s="50">
        <v>29</v>
      </c>
      <c r="G23" s="43">
        <f>SUMIFS(TRANSACTION!D:D,TRANSACTION!C:C,Table1[[#This Row],[DESCRIPTION2]])</f>
        <v>110</v>
      </c>
      <c r="H23">
        <f>SUMIFS(TRANSACTION!$E:$E,TRANSACTION!$C:$C,Table1[[#This Row],[DESCRIPTION2]])</f>
        <v>79</v>
      </c>
      <c r="I23" s="42">
        <f>Table1[[#This Row],[OPENING]]+Table1[[#This Row],[RECEIPT]]-Table1[[#This Row],[ISSUANCE]]</f>
        <v>60</v>
      </c>
    </row>
    <row r="24" spans="1:11" x14ac:dyDescent="0.25">
      <c r="A24" s="35">
        <f>IF(Table1[[#This Row],[DESCRIPTION2]]="","",A23+1)</f>
        <v>23</v>
      </c>
      <c r="B24" t="s">
        <v>143</v>
      </c>
      <c r="C24" t="s">
        <v>303</v>
      </c>
      <c r="D24" t="s">
        <v>156</v>
      </c>
      <c r="E24" s="37" t="s">
        <v>393</v>
      </c>
      <c r="F24" s="50">
        <v>66</v>
      </c>
      <c r="G24" s="43">
        <f>SUMIFS(TRANSACTION!D:D,TRANSACTION!C:C,Table1[[#This Row],[DESCRIPTION2]])</f>
        <v>23</v>
      </c>
      <c r="H24">
        <f>SUMIFS(TRANSACTION!$E:$E,TRANSACTION!$C:$C,Table1[[#This Row],[DESCRIPTION2]])</f>
        <v>67</v>
      </c>
      <c r="I24" s="42">
        <f>Table1[[#This Row],[OPENING]]+Table1[[#This Row],[RECEIPT]]-Table1[[#This Row],[ISSUANCE]]</f>
        <v>22</v>
      </c>
    </row>
    <row r="25" spans="1:11" x14ac:dyDescent="0.25">
      <c r="A25" s="35">
        <f>IF(Table1[[#This Row],[DESCRIPTION2]]="","",A24+1)</f>
        <v>24</v>
      </c>
      <c r="B25" t="s">
        <v>144</v>
      </c>
      <c r="C25" t="s">
        <v>304</v>
      </c>
      <c r="D25" t="s">
        <v>156</v>
      </c>
      <c r="E25" s="37" t="s">
        <v>393</v>
      </c>
      <c r="F25" s="50">
        <v>90</v>
      </c>
      <c r="G25" s="43">
        <f>SUMIFS(TRANSACTION!D:D,TRANSACTION!C:C,Table1[[#This Row],[DESCRIPTION2]])</f>
        <v>0</v>
      </c>
      <c r="H25">
        <f>SUMIFS(TRANSACTION!$E:$E,TRANSACTION!$C:$C,Table1[[#This Row],[DESCRIPTION2]])</f>
        <v>90</v>
      </c>
      <c r="I25" s="42">
        <f>Table1[[#This Row],[OPENING]]+Table1[[#This Row],[RECEIPT]]-Table1[[#This Row],[ISSUANCE]]</f>
        <v>0</v>
      </c>
    </row>
    <row r="26" spans="1:11" x14ac:dyDescent="0.25">
      <c r="A26" s="35">
        <f>IF(Table1[[#This Row],[DESCRIPTION2]]="","",A25+1)</f>
        <v>25</v>
      </c>
      <c r="B26" t="s">
        <v>145</v>
      </c>
      <c r="C26" t="s">
        <v>306</v>
      </c>
      <c r="D26" t="s">
        <v>156</v>
      </c>
      <c r="E26" s="37" t="s">
        <v>393</v>
      </c>
      <c r="F26" s="50">
        <v>83</v>
      </c>
      <c r="G26" s="43">
        <f>SUMIFS(TRANSACTION!D:D,TRANSACTION!C:C,Table1[[#This Row],[DESCRIPTION2]])</f>
        <v>440</v>
      </c>
      <c r="H26">
        <f>SUMIFS(TRANSACTION!$E:$E,TRANSACTION!$C:$C,Table1[[#This Row],[DESCRIPTION2]])</f>
        <v>323</v>
      </c>
      <c r="I26" s="42">
        <f>Table1[[#This Row],[OPENING]]+Table1[[#This Row],[RECEIPT]]-Table1[[#This Row],[ISSUANCE]]</f>
        <v>200</v>
      </c>
    </row>
    <row r="27" spans="1:11" x14ac:dyDescent="0.25">
      <c r="A27" s="35">
        <f>IF(Table1[[#This Row],[DESCRIPTION2]]="","",A26+1)</f>
        <v>26</v>
      </c>
      <c r="B27" t="s">
        <v>146</v>
      </c>
      <c r="C27" t="s">
        <v>305</v>
      </c>
      <c r="D27" t="s">
        <v>156</v>
      </c>
      <c r="E27" s="37" t="s">
        <v>393</v>
      </c>
      <c r="F27" s="50">
        <v>50</v>
      </c>
      <c r="G27" s="43">
        <f>SUMIFS(TRANSACTION!D:D,TRANSACTION!C:C,Table1[[#This Row],[DESCRIPTION2]])</f>
        <v>50</v>
      </c>
      <c r="H27">
        <f>SUMIFS(TRANSACTION!$E:$E,TRANSACTION!$C:$C,Table1[[#This Row],[DESCRIPTION2]])</f>
        <v>80</v>
      </c>
      <c r="I27" s="42">
        <f>Table1[[#This Row],[OPENING]]+Table1[[#This Row],[RECEIPT]]-Table1[[#This Row],[ISSUANCE]]</f>
        <v>20</v>
      </c>
    </row>
    <row r="28" spans="1:11" x14ac:dyDescent="0.25">
      <c r="A28" s="35">
        <f>IF(Table1[[#This Row],[DESCRIPTION2]]="","",A27+1)</f>
        <v>27</v>
      </c>
      <c r="B28" t="s">
        <v>147</v>
      </c>
      <c r="C28" t="s">
        <v>306</v>
      </c>
      <c r="D28" t="s">
        <v>156</v>
      </c>
      <c r="E28" s="37" t="s">
        <v>393</v>
      </c>
      <c r="F28" s="50">
        <v>4</v>
      </c>
      <c r="G28" s="43">
        <f>SUMIFS(TRANSACTION!D:D,TRANSACTION!C:C,Table1[[#This Row],[DESCRIPTION2]])</f>
        <v>0</v>
      </c>
      <c r="H28">
        <f>SUMIFS(TRANSACTION!$E:$E,TRANSACTION!$C:$C,Table1[[#This Row],[DESCRIPTION2]])</f>
        <v>4</v>
      </c>
      <c r="I28" s="42">
        <f>Table1[[#This Row],[OPENING]]+Table1[[#This Row],[RECEIPT]]-Table1[[#This Row],[ISSUANCE]]</f>
        <v>0</v>
      </c>
    </row>
    <row r="29" spans="1:11" x14ac:dyDescent="0.25">
      <c r="A29" s="35">
        <f>IF(Table1[[#This Row],[DESCRIPTION2]]="","",A28+1)</f>
        <v>28</v>
      </c>
      <c r="B29" t="s">
        <v>148</v>
      </c>
      <c r="C29" t="s">
        <v>307</v>
      </c>
      <c r="D29" t="s">
        <v>156</v>
      </c>
      <c r="E29" s="37" t="s">
        <v>393</v>
      </c>
      <c r="F29" s="50">
        <v>3</v>
      </c>
      <c r="G29" s="43">
        <f>SUMIFS(TRANSACTION!D:D,TRANSACTION!C:C,Table1[[#This Row],[DESCRIPTION2]])</f>
        <v>0</v>
      </c>
      <c r="H29">
        <f>SUMIFS(TRANSACTION!$E:$E,TRANSACTION!$C:$C,Table1[[#This Row],[DESCRIPTION2]])</f>
        <v>3</v>
      </c>
      <c r="I29" s="42">
        <f>Table1[[#This Row],[OPENING]]+Table1[[#This Row],[RECEIPT]]-Table1[[#This Row],[ISSUANCE]]</f>
        <v>0</v>
      </c>
    </row>
    <row r="30" spans="1:11" x14ac:dyDescent="0.25">
      <c r="A30" s="35">
        <f>IF(Table1[[#This Row],[DESCRIPTION2]]="","",A29+1)</f>
        <v>29</v>
      </c>
      <c r="B30" t="s">
        <v>149</v>
      </c>
      <c r="C30" t="s">
        <v>308</v>
      </c>
      <c r="D30" t="s">
        <v>156</v>
      </c>
      <c r="E30" s="37" t="s">
        <v>393</v>
      </c>
      <c r="F30" s="50">
        <v>15</v>
      </c>
      <c r="G30" s="43">
        <f>SUMIFS(TRANSACTION!D:D,TRANSACTION!C:C,Table1[[#This Row],[DESCRIPTION2]])</f>
        <v>2</v>
      </c>
      <c r="H30">
        <f>SUMIFS(TRANSACTION!$E:$E,TRANSACTION!$C:$C,Table1[[#This Row],[DESCRIPTION2]])</f>
        <v>17</v>
      </c>
      <c r="I30" s="42">
        <f>Table1[[#This Row],[OPENING]]+Table1[[#This Row],[RECEIPT]]-Table1[[#This Row],[ISSUANCE]]</f>
        <v>0</v>
      </c>
    </row>
    <row r="31" spans="1:11" x14ac:dyDescent="0.25">
      <c r="A31" s="35">
        <f>IF(Table1[[#This Row],[DESCRIPTION2]]="","",A30+1)</f>
        <v>30</v>
      </c>
      <c r="B31" t="s">
        <v>150</v>
      </c>
      <c r="C31" t="s">
        <v>308</v>
      </c>
      <c r="D31" t="s">
        <v>156</v>
      </c>
      <c r="E31" s="37" t="s">
        <v>393</v>
      </c>
      <c r="F31" s="50">
        <v>34</v>
      </c>
      <c r="G31" s="43">
        <f>SUMIFS(TRANSACTION!D:D,TRANSACTION!C:C,Table1[[#This Row],[DESCRIPTION2]])</f>
        <v>1</v>
      </c>
      <c r="H31">
        <f>SUMIFS(TRANSACTION!$E:$E,TRANSACTION!$C:$C,Table1[[#This Row],[DESCRIPTION2]])</f>
        <v>35</v>
      </c>
      <c r="I31" s="42">
        <f>Table1[[#This Row],[OPENING]]+Table1[[#This Row],[RECEIPT]]-Table1[[#This Row],[ISSUANCE]]</f>
        <v>0</v>
      </c>
      <c r="K31" t="s">
        <v>665</v>
      </c>
    </row>
    <row r="32" spans="1:11" x14ac:dyDescent="0.25">
      <c r="A32" s="35">
        <f>IF(Table1[[#This Row],[DESCRIPTION2]]="","",A31+1)</f>
        <v>31</v>
      </c>
      <c r="B32" t="s">
        <v>419</v>
      </c>
      <c r="C32" t="s">
        <v>182</v>
      </c>
      <c r="D32" t="s">
        <v>156</v>
      </c>
      <c r="E32" s="37" t="s">
        <v>393</v>
      </c>
      <c r="F32" s="50">
        <v>450</v>
      </c>
      <c r="G32" s="43">
        <f>SUMIFS(TRANSACTION!D:D,TRANSACTION!C:C,Table1[[#This Row],[DESCRIPTION2]])</f>
        <v>0</v>
      </c>
      <c r="H32">
        <f>SUMIFS(TRANSACTION!$E:$E,TRANSACTION!$C:$C,Table1[[#This Row],[DESCRIPTION2]])</f>
        <v>450</v>
      </c>
      <c r="I32" s="42">
        <f>Table1[[#This Row],[OPENING]]+Table1[[#This Row],[RECEIPT]]-Table1[[#This Row],[ISSUANCE]]</f>
        <v>0</v>
      </c>
    </row>
    <row r="33" spans="1:11" x14ac:dyDescent="0.25">
      <c r="A33" s="35">
        <f>IF(Table1[[#This Row],[DESCRIPTION2]]="","",A32+1)</f>
        <v>32</v>
      </c>
      <c r="B33" t="s">
        <v>152</v>
      </c>
      <c r="C33" t="s">
        <v>306</v>
      </c>
      <c r="D33" t="s">
        <v>156</v>
      </c>
      <c r="E33" s="37" t="s">
        <v>393</v>
      </c>
      <c r="F33" s="50">
        <v>40</v>
      </c>
      <c r="G33" s="43">
        <f>SUMIFS(TRANSACTION!D:D,TRANSACTION!C:C,Table1[[#This Row],[DESCRIPTION2]])</f>
        <v>0</v>
      </c>
      <c r="H33">
        <f>SUMIFS(TRANSACTION!$E:$E,TRANSACTION!$C:$C,Table1[[#This Row],[DESCRIPTION2]])</f>
        <v>40</v>
      </c>
      <c r="I33" s="42">
        <f>Table1[[#This Row],[OPENING]]+Table1[[#This Row],[RECEIPT]]-Table1[[#This Row],[ISSUANCE]]</f>
        <v>0</v>
      </c>
    </row>
    <row r="34" spans="1:11" x14ac:dyDescent="0.25">
      <c r="A34" s="35">
        <f>IF(Table1[[#This Row],[DESCRIPTION2]]="","",A33+1)</f>
        <v>33</v>
      </c>
      <c r="B34" t="s">
        <v>153</v>
      </c>
      <c r="C34" t="s">
        <v>309</v>
      </c>
      <c r="D34" t="s">
        <v>156</v>
      </c>
      <c r="E34" s="37" t="s">
        <v>393</v>
      </c>
      <c r="F34" s="50">
        <v>5</v>
      </c>
      <c r="G34" s="43">
        <f>SUMIFS(TRANSACTION!D:D,TRANSACTION!C:C,Table1[[#This Row],[DESCRIPTION2]])</f>
        <v>0</v>
      </c>
      <c r="H34">
        <f>SUMIFS(TRANSACTION!$E:$E,TRANSACTION!$C:$C,Table1[[#This Row],[DESCRIPTION2]])</f>
        <v>5</v>
      </c>
      <c r="I34" s="42">
        <f>Table1[[#This Row],[OPENING]]+Table1[[#This Row],[RECEIPT]]-Table1[[#This Row],[ISSUANCE]]</f>
        <v>0</v>
      </c>
    </row>
    <row r="35" spans="1:11" x14ac:dyDescent="0.25">
      <c r="A35" s="35">
        <f>IF(Table1[[#This Row],[DESCRIPTION2]]="","",A34+1)</f>
        <v>34</v>
      </c>
      <c r="B35" t="s">
        <v>154</v>
      </c>
      <c r="C35" t="s">
        <v>309</v>
      </c>
      <c r="D35" t="s">
        <v>156</v>
      </c>
      <c r="E35" s="37" t="s">
        <v>393</v>
      </c>
      <c r="F35" s="50">
        <v>1</v>
      </c>
      <c r="G35" s="43">
        <f>SUMIFS(TRANSACTION!D:D,TRANSACTION!C:C,Table1[[#This Row],[DESCRIPTION2]])</f>
        <v>0</v>
      </c>
      <c r="H35">
        <f>SUMIFS(TRANSACTION!$E:$E,TRANSACTION!$C:$C,Table1[[#This Row],[DESCRIPTION2]])</f>
        <v>1</v>
      </c>
      <c r="I35" s="42">
        <f>Table1[[#This Row],[OPENING]]+Table1[[#This Row],[RECEIPT]]-Table1[[#This Row],[ISSUANCE]]</f>
        <v>0</v>
      </c>
    </row>
    <row r="36" spans="1:11" x14ac:dyDescent="0.25">
      <c r="A36" s="35">
        <f>IF(Table1[[#This Row],[DESCRIPTION2]]="","",A35+1)</f>
        <v>35</v>
      </c>
      <c r="B36" t="s">
        <v>155</v>
      </c>
      <c r="C36" t="s">
        <v>310</v>
      </c>
      <c r="D36" t="s">
        <v>156</v>
      </c>
      <c r="E36" s="37" t="s">
        <v>393</v>
      </c>
      <c r="F36" s="50">
        <v>320</v>
      </c>
      <c r="G36" s="43">
        <f>SUMIFS(TRANSACTION!D:D,TRANSACTION!C:C,Table1[[#This Row],[DESCRIPTION2]])</f>
        <v>0</v>
      </c>
      <c r="H36">
        <f>SUMIFS(TRANSACTION!$E:$E,TRANSACTION!$C:$C,Table1[[#This Row],[DESCRIPTION2]])</f>
        <v>195</v>
      </c>
      <c r="I36" s="42">
        <f>Table1[[#This Row],[OPENING]]+Table1[[#This Row],[RECEIPT]]-Table1[[#This Row],[ISSUANCE]]</f>
        <v>125</v>
      </c>
    </row>
    <row r="37" spans="1:11" x14ac:dyDescent="0.25">
      <c r="A37" s="35">
        <f>IF(Table1[[#This Row],[DESCRIPTION2]]="","",A36+1)</f>
        <v>36</v>
      </c>
      <c r="B37" t="s">
        <v>157</v>
      </c>
      <c r="C37" t="s">
        <v>311</v>
      </c>
      <c r="D37" t="s">
        <v>156</v>
      </c>
      <c r="E37" s="37" t="s">
        <v>393</v>
      </c>
      <c r="F37" s="50">
        <v>22</v>
      </c>
      <c r="G37" s="43">
        <f>SUMIFS(TRANSACTION!D:D,TRANSACTION!C:C,Table1[[#This Row],[DESCRIPTION2]])</f>
        <v>0</v>
      </c>
      <c r="H37">
        <f>SUMIFS(TRANSACTION!$E:$E,TRANSACTION!$C:$C,Table1[[#This Row],[DESCRIPTION2]])</f>
        <v>22</v>
      </c>
      <c r="I37" s="42">
        <f>Table1[[#This Row],[OPENING]]+Table1[[#This Row],[RECEIPT]]-Table1[[#This Row],[ISSUANCE]]</f>
        <v>0</v>
      </c>
      <c r="K37" t="s">
        <v>657</v>
      </c>
    </row>
    <row r="38" spans="1:11" x14ac:dyDescent="0.25">
      <c r="A38" s="35">
        <f>IF(Table1[[#This Row],[DESCRIPTION2]]="","",A37+1)</f>
        <v>37</v>
      </c>
      <c r="B38" t="s">
        <v>158</v>
      </c>
      <c r="C38" t="s">
        <v>316</v>
      </c>
      <c r="D38" t="s">
        <v>156</v>
      </c>
      <c r="E38" s="37" t="s">
        <v>393</v>
      </c>
      <c r="F38" s="50">
        <v>9</v>
      </c>
      <c r="G38" s="43">
        <f>SUMIFS(TRANSACTION!D:D,TRANSACTION!C:C,Table1[[#This Row],[DESCRIPTION2]])</f>
        <v>0</v>
      </c>
      <c r="H38">
        <f>SUMIFS(TRANSACTION!$E:$E,TRANSACTION!$C:$C,Table1[[#This Row],[DESCRIPTION2]])</f>
        <v>9</v>
      </c>
      <c r="I38" s="42">
        <f>Table1[[#This Row],[OPENING]]+Table1[[#This Row],[RECEIPT]]-Table1[[#This Row],[ISSUANCE]]</f>
        <v>0</v>
      </c>
    </row>
    <row r="39" spans="1:11" x14ac:dyDescent="0.25">
      <c r="A39" s="35">
        <f>IF(Table1[[#This Row],[DESCRIPTION2]]="","",A38+1)</f>
        <v>38</v>
      </c>
      <c r="B39" t="s">
        <v>159</v>
      </c>
      <c r="C39" t="s">
        <v>312</v>
      </c>
      <c r="D39" t="s">
        <v>156</v>
      </c>
      <c r="E39" s="37" t="s">
        <v>393</v>
      </c>
      <c r="F39" s="50">
        <v>20</v>
      </c>
      <c r="G39" s="43">
        <f>SUMIFS(TRANSACTION!D:D,TRANSACTION!C:C,Table1[[#This Row],[DESCRIPTION2]])</f>
        <v>80</v>
      </c>
      <c r="H39">
        <f>SUMIFS(TRANSACTION!$E:$E,TRANSACTION!$C:$C,Table1[[#This Row],[DESCRIPTION2]])</f>
        <v>79</v>
      </c>
      <c r="I39" s="42">
        <f>Table1[[#This Row],[OPENING]]+Table1[[#This Row],[RECEIPT]]-Table1[[#This Row],[ISSUANCE]]</f>
        <v>21</v>
      </c>
    </row>
    <row r="40" spans="1:11" x14ac:dyDescent="0.25">
      <c r="A40" s="35">
        <f>IF(Table1[[#This Row],[DESCRIPTION2]]="","",A39+1)</f>
        <v>39</v>
      </c>
      <c r="B40" t="s">
        <v>164</v>
      </c>
      <c r="C40" t="s">
        <v>315</v>
      </c>
      <c r="D40" t="s">
        <v>156</v>
      </c>
      <c r="E40" s="37" t="s">
        <v>393</v>
      </c>
      <c r="F40" s="50">
        <v>40</v>
      </c>
      <c r="G40" s="43">
        <f>SUMIFS(TRANSACTION!D:D,TRANSACTION!C:C,Table1[[#This Row],[DESCRIPTION2]])</f>
        <v>0</v>
      </c>
      <c r="H40">
        <f>SUMIFS(TRANSACTION!$E:$E,TRANSACTION!$C:$C,Table1[[#This Row],[DESCRIPTION2]])</f>
        <v>40</v>
      </c>
      <c r="I40" s="42">
        <f>Table1[[#This Row],[OPENING]]+Table1[[#This Row],[RECEIPT]]-Table1[[#This Row],[ISSUANCE]]</f>
        <v>0</v>
      </c>
    </row>
    <row r="41" spans="1:11" x14ac:dyDescent="0.25">
      <c r="A41" s="35">
        <f>IF(Table1[[#This Row],[DESCRIPTION2]]="","",A40+1)</f>
        <v>40</v>
      </c>
      <c r="B41" t="s">
        <v>165</v>
      </c>
      <c r="C41" t="s">
        <v>315</v>
      </c>
      <c r="D41" t="s">
        <v>156</v>
      </c>
      <c r="E41" s="37" t="s">
        <v>393</v>
      </c>
      <c r="F41" s="50">
        <v>25</v>
      </c>
      <c r="G41" s="43">
        <f>SUMIFS(TRANSACTION!D:D,TRANSACTION!C:C,Table1[[#This Row],[DESCRIPTION2]])</f>
        <v>0</v>
      </c>
      <c r="H41">
        <f>SUMIFS(TRANSACTION!$E:$E,TRANSACTION!$C:$C,Table1[[#This Row],[DESCRIPTION2]])</f>
        <v>25</v>
      </c>
      <c r="I41" s="42">
        <f>Table1[[#This Row],[OPENING]]+Table1[[#This Row],[RECEIPT]]-Table1[[#This Row],[ISSUANCE]]</f>
        <v>0</v>
      </c>
      <c r="K41" t="s">
        <v>658</v>
      </c>
    </row>
    <row r="42" spans="1:11" x14ac:dyDescent="0.25">
      <c r="A42" s="35">
        <f>IF(Table1[[#This Row],[DESCRIPTION2]]="","",A41+1)</f>
        <v>41</v>
      </c>
      <c r="B42" t="s">
        <v>166</v>
      </c>
      <c r="C42" t="s">
        <v>318</v>
      </c>
      <c r="D42" t="s">
        <v>156</v>
      </c>
      <c r="E42" s="37" t="s">
        <v>393</v>
      </c>
      <c r="F42" s="50">
        <v>22</v>
      </c>
      <c r="G42" s="43">
        <f>SUMIFS(TRANSACTION!D:D,TRANSACTION!C:C,Table1[[#This Row],[DESCRIPTION2]])</f>
        <v>50</v>
      </c>
      <c r="H42">
        <f>SUMIFS(TRANSACTION!$E:$E,TRANSACTION!$C:$C,Table1[[#This Row],[DESCRIPTION2]])</f>
        <v>40</v>
      </c>
      <c r="I42" s="42">
        <f>Table1[[#This Row],[OPENING]]+Table1[[#This Row],[RECEIPT]]-Table1[[#This Row],[ISSUANCE]]</f>
        <v>32</v>
      </c>
    </row>
    <row r="43" spans="1:11" x14ac:dyDescent="0.25">
      <c r="A43" s="35">
        <f>IF(Table1[[#This Row],[DESCRIPTION2]]="","",A42+1)</f>
        <v>42</v>
      </c>
      <c r="B43" t="s">
        <v>317</v>
      </c>
      <c r="C43" t="s">
        <v>319</v>
      </c>
      <c r="D43" t="s">
        <v>156</v>
      </c>
      <c r="E43" s="37" t="s">
        <v>393</v>
      </c>
      <c r="F43" s="50">
        <v>4</v>
      </c>
      <c r="G43" s="43">
        <f>SUMIFS(TRANSACTION!D:D,TRANSACTION!C:C,Table1[[#This Row],[DESCRIPTION2]])</f>
        <v>74</v>
      </c>
      <c r="H43">
        <f>SUMIFS(TRANSACTION!$E:$E,TRANSACTION!$C:$C,Table1[[#This Row],[DESCRIPTION2]])</f>
        <v>35</v>
      </c>
      <c r="I43" s="42">
        <f>Table1[[#This Row],[OPENING]]+Table1[[#This Row],[RECEIPT]]-Table1[[#This Row],[ISSUANCE]]</f>
        <v>43</v>
      </c>
    </row>
    <row r="44" spans="1:11" x14ac:dyDescent="0.25">
      <c r="A44" s="35">
        <f>IF(Table1[[#This Row],[DESCRIPTION2]]="","",A43+1)</f>
        <v>43</v>
      </c>
      <c r="B44" t="s">
        <v>167</v>
      </c>
      <c r="C44" t="s">
        <v>313</v>
      </c>
      <c r="D44" t="s">
        <v>156</v>
      </c>
      <c r="E44" s="37" t="s">
        <v>393</v>
      </c>
      <c r="F44" s="50">
        <v>29</v>
      </c>
      <c r="G44" s="43">
        <f>SUMIFS(TRANSACTION!D:D,TRANSACTION!C:C,Table1[[#This Row],[DESCRIPTION2]])</f>
        <v>0</v>
      </c>
      <c r="H44">
        <f>SUMIFS(TRANSACTION!$E:$E,TRANSACTION!$C:$C,Table1[[#This Row],[DESCRIPTION2]])</f>
        <v>26</v>
      </c>
      <c r="I44" s="42">
        <f>Table1[[#This Row],[OPENING]]+Table1[[#This Row],[RECEIPT]]-Table1[[#This Row],[ISSUANCE]]</f>
        <v>3</v>
      </c>
      <c r="K44" t="s">
        <v>658</v>
      </c>
    </row>
    <row r="45" spans="1:11" x14ac:dyDescent="0.25">
      <c r="A45" s="35">
        <f>IF(Table1[[#This Row],[DESCRIPTION2]]="","",A44+1)</f>
        <v>44</v>
      </c>
      <c r="B45" t="s">
        <v>168</v>
      </c>
      <c r="C45" t="s">
        <v>314</v>
      </c>
      <c r="D45" t="s">
        <v>156</v>
      </c>
      <c r="E45" s="37" t="s">
        <v>393</v>
      </c>
      <c r="F45" s="50">
        <v>0</v>
      </c>
      <c r="G45" s="43">
        <f>SUMIFS(TRANSACTION!D:D,TRANSACTION!C:C,Table1[[#This Row],[DESCRIPTION2]])</f>
        <v>0</v>
      </c>
      <c r="H45">
        <f>SUMIFS(TRANSACTION!$E:$E,TRANSACTION!$C:$C,Table1[[#This Row],[DESCRIPTION2]])</f>
        <v>0</v>
      </c>
      <c r="I45" s="42">
        <f>Table1[[#This Row],[OPENING]]+Table1[[#This Row],[RECEIPT]]-Table1[[#This Row],[ISSUANCE]]</f>
        <v>0</v>
      </c>
    </row>
    <row r="46" spans="1:11" x14ac:dyDescent="0.25">
      <c r="A46" s="35">
        <f>IF(Table1[[#This Row],[DESCRIPTION2]]="","",A45+1)</f>
        <v>45</v>
      </c>
      <c r="B46" t="s">
        <v>169</v>
      </c>
      <c r="C46" t="s">
        <v>314</v>
      </c>
      <c r="D46" t="s">
        <v>156</v>
      </c>
      <c r="E46" s="37" t="s">
        <v>393</v>
      </c>
      <c r="F46" s="50">
        <v>0</v>
      </c>
      <c r="G46" s="43">
        <f>SUMIFS(TRANSACTION!D:D,TRANSACTION!C:C,Table1[[#This Row],[DESCRIPTION2]])</f>
        <v>0</v>
      </c>
      <c r="H46">
        <f>SUMIFS(TRANSACTION!$E:$E,TRANSACTION!$C:$C,Table1[[#This Row],[DESCRIPTION2]])</f>
        <v>0</v>
      </c>
      <c r="I46" s="42">
        <f>Table1[[#This Row],[OPENING]]+Table1[[#This Row],[RECEIPT]]-Table1[[#This Row],[ISSUANCE]]</f>
        <v>0</v>
      </c>
    </row>
    <row r="47" spans="1:11" x14ac:dyDescent="0.25">
      <c r="A47" s="35">
        <f>IF(Table1[[#This Row],[DESCRIPTION2]]="","",A46+1)</f>
        <v>46</v>
      </c>
      <c r="B47" t="s">
        <v>170</v>
      </c>
      <c r="C47" t="s">
        <v>320</v>
      </c>
      <c r="D47" t="s">
        <v>161</v>
      </c>
      <c r="E47" s="37" t="s">
        <v>393</v>
      </c>
      <c r="F47" s="50">
        <v>9</v>
      </c>
      <c r="G47" s="43">
        <f>SUMIFS(TRANSACTION!D:D,TRANSACTION!C:C,Table1[[#This Row],[DESCRIPTION2]])</f>
        <v>0</v>
      </c>
      <c r="H47">
        <f>SUMIFS(TRANSACTION!$E:$E,TRANSACTION!$C:$C,Table1[[#This Row],[DESCRIPTION2]])</f>
        <v>9</v>
      </c>
      <c r="I47" s="42">
        <f>Table1[[#This Row],[OPENING]]+Table1[[#This Row],[RECEIPT]]-Table1[[#This Row],[ISSUANCE]]</f>
        <v>0</v>
      </c>
    </row>
    <row r="48" spans="1:11" x14ac:dyDescent="0.25">
      <c r="A48" s="35">
        <f>IF(Table1[[#This Row],[DESCRIPTION2]]="","",A47+1)</f>
        <v>47</v>
      </c>
      <c r="B48" t="s">
        <v>171</v>
      </c>
      <c r="C48" t="s">
        <v>321</v>
      </c>
      <c r="D48" t="s">
        <v>161</v>
      </c>
      <c r="E48" s="37" t="s">
        <v>393</v>
      </c>
      <c r="F48" s="50">
        <v>10</v>
      </c>
      <c r="G48" s="43">
        <f>SUMIFS(TRANSACTION!D:D,TRANSACTION!C:C,Table1[[#This Row],[DESCRIPTION2]])</f>
        <v>238</v>
      </c>
      <c r="H48">
        <f>SUMIFS(TRANSACTION!$E:$E,TRANSACTION!$C:$C,Table1[[#This Row],[DESCRIPTION2]])</f>
        <v>222</v>
      </c>
      <c r="I48" s="42">
        <f>Table1[[#This Row],[OPENING]]+Table1[[#This Row],[RECEIPT]]-Table1[[#This Row],[ISSUANCE]]</f>
        <v>26</v>
      </c>
    </row>
    <row r="49" spans="1:12" x14ac:dyDescent="0.25">
      <c r="A49" s="35">
        <f>IF(Table1[[#This Row],[DESCRIPTION2]]="","",A48+1)</f>
        <v>48</v>
      </c>
      <c r="B49" t="s">
        <v>172</v>
      </c>
      <c r="C49" t="s">
        <v>322</v>
      </c>
      <c r="D49" t="s">
        <v>161</v>
      </c>
      <c r="E49" s="37" t="s">
        <v>393</v>
      </c>
      <c r="F49" s="50">
        <v>5</v>
      </c>
      <c r="G49" s="43">
        <f>SUMIFS(TRANSACTION!D:D,TRANSACTION!C:C,Table1[[#This Row],[DESCRIPTION2]])</f>
        <v>6</v>
      </c>
      <c r="H49">
        <f>SUMIFS(TRANSACTION!$E:$E,TRANSACTION!$C:$C,Table1[[#This Row],[DESCRIPTION2]])</f>
        <v>11</v>
      </c>
      <c r="I49" s="42">
        <f>Table1[[#This Row],[OPENING]]+Table1[[#This Row],[RECEIPT]]-Table1[[#This Row],[ISSUANCE]]</f>
        <v>0</v>
      </c>
    </row>
    <row r="50" spans="1:12" x14ac:dyDescent="0.25">
      <c r="A50" s="35">
        <f>IF(Table1[[#This Row],[DESCRIPTION2]]="","",A49+1)</f>
        <v>49</v>
      </c>
      <c r="B50" t="s">
        <v>173</v>
      </c>
      <c r="C50" t="s">
        <v>323</v>
      </c>
      <c r="D50" t="s">
        <v>161</v>
      </c>
      <c r="E50" s="37" t="s">
        <v>393</v>
      </c>
      <c r="F50" s="50">
        <v>8</v>
      </c>
      <c r="G50" s="43">
        <f>SUMIFS(TRANSACTION!D:D,TRANSACTION!C:C,Table1[[#This Row],[DESCRIPTION2]])</f>
        <v>70</v>
      </c>
      <c r="H50">
        <f>SUMIFS(TRANSACTION!$E:$E,TRANSACTION!$C:$C,Table1[[#This Row],[DESCRIPTION2]])</f>
        <v>41</v>
      </c>
      <c r="I50" s="42">
        <f>Table1[[#This Row],[OPENING]]+Table1[[#This Row],[RECEIPT]]-Table1[[#This Row],[ISSUANCE]]</f>
        <v>37</v>
      </c>
    </row>
    <row r="51" spans="1:12" x14ac:dyDescent="0.25">
      <c r="A51" s="35">
        <f>IF(Table1[[#This Row],[DESCRIPTION2]]="","",A50+1)</f>
        <v>50</v>
      </c>
      <c r="B51" t="s">
        <v>160</v>
      </c>
      <c r="C51" t="s">
        <v>324</v>
      </c>
      <c r="D51" t="s">
        <v>161</v>
      </c>
      <c r="E51" s="37" t="s">
        <v>393</v>
      </c>
      <c r="F51" s="50">
        <v>48</v>
      </c>
      <c r="G51" s="43">
        <f>SUMIFS(TRANSACTION!D:D,TRANSACTION!C:C,Table1[[#This Row],[DESCRIPTION2]])</f>
        <v>0</v>
      </c>
      <c r="H51">
        <f>SUMIFS(TRANSACTION!$E:$E,TRANSACTION!$C:$C,Table1[[#This Row],[DESCRIPTION2]])</f>
        <v>40</v>
      </c>
      <c r="I51" s="42">
        <f>Table1[[#This Row],[OPENING]]+Table1[[#This Row],[RECEIPT]]-Table1[[#This Row],[ISSUANCE]]</f>
        <v>8</v>
      </c>
      <c r="K51" t="s">
        <v>667</v>
      </c>
    </row>
    <row r="52" spans="1:12" x14ac:dyDescent="0.25">
      <c r="A52" s="35">
        <f>IF(Table1[[#This Row],[DESCRIPTION2]]="","",A51+1)</f>
        <v>51</v>
      </c>
      <c r="B52" t="s">
        <v>175</v>
      </c>
      <c r="C52" t="s">
        <v>325</v>
      </c>
      <c r="D52" t="s">
        <v>161</v>
      </c>
      <c r="E52" s="37" t="s">
        <v>393</v>
      </c>
      <c r="F52" s="50">
        <v>1</v>
      </c>
      <c r="G52" s="43">
        <f>SUMIFS(TRANSACTION!D:D,TRANSACTION!C:C,Table1[[#This Row],[DESCRIPTION2]])</f>
        <v>0</v>
      </c>
      <c r="H52">
        <f>SUMIFS(TRANSACTION!$E:$E,TRANSACTION!$C:$C,Table1[[#This Row],[DESCRIPTION2]])</f>
        <v>1</v>
      </c>
      <c r="I52" s="42">
        <f>Table1[[#This Row],[OPENING]]+Table1[[#This Row],[RECEIPT]]-Table1[[#This Row],[ISSUANCE]]</f>
        <v>0</v>
      </c>
    </row>
    <row r="53" spans="1:12" x14ac:dyDescent="0.25">
      <c r="A53" s="35">
        <f>IF(Table1[[#This Row],[DESCRIPTION2]]="","",A52+1)</f>
        <v>52</v>
      </c>
      <c r="B53" t="s">
        <v>176</v>
      </c>
      <c r="C53" t="s">
        <v>297</v>
      </c>
      <c r="D53" t="s">
        <v>162</v>
      </c>
      <c r="E53" s="37" t="s">
        <v>393</v>
      </c>
      <c r="F53" s="50">
        <v>17</v>
      </c>
      <c r="G53" s="43">
        <f>SUMIFS(TRANSACTION!D:D,TRANSACTION!C:C,Table1[[#This Row],[DESCRIPTION2]])</f>
        <v>10</v>
      </c>
      <c r="H53">
        <f>SUMIFS(TRANSACTION!$E:$E,TRANSACTION!$C:$C,Table1[[#This Row],[DESCRIPTION2]])</f>
        <v>17</v>
      </c>
      <c r="I53" s="42">
        <f>Table1[[#This Row],[OPENING]]+Table1[[#This Row],[RECEIPT]]-Table1[[#This Row],[ISSUANCE]]</f>
        <v>10</v>
      </c>
    </row>
    <row r="54" spans="1:12" x14ac:dyDescent="0.25">
      <c r="A54" s="35">
        <f>IF(Table1[[#This Row],[DESCRIPTION2]]="","",A53+1)</f>
        <v>53</v>
      </c>
      <c r="B54" t="s">
        <v>178</v>
      </c>
      <c r="C54" t="s">
        <v>180</v>
      </c>
      <c r="D54" t="s">
        <v>162</v>
      </c>
      <c r="E54" s="37" t="s">
        <v>393</v>
      </c>
      <c r="F54" s="50">
        <v>6</v>
      </c>
      <c r="G54" s="43">
        <f>SUMIFS(TRANSACTION!D:D,TRANSACTION!C:C,Table1[[#This Row],[DESCRIPTION2]])</f>
        <v>22</v>
      </c>
      <c r="H54">
        <f>SUMIFS(TRANSACTION!$E:$E,TRANSACTION!$C:$C,Table1[[#This Row],[DESCRIPTION2]])</f>
        <v>8</v>
      </c>
      <c r="I54" s="42">
        <f>Table1[[#This Row],[OPENING]]+Table1[[#This Row],[RECEIPT]]-Table1[[#This Row],[ISSUANCE]]</f>
        <v>20</v>
      </c>
    </row>
    <row r="55" spans="1:12" x14ac:dyDescent="0.25">
      <c r="A55" s="35">
        <f>IF(Table1[[#This Row],[DESCRIPTION2]]="","",A54+1)</f>
        <v>54</v>
      </c>
      <c r="B55" t="s">
        <v>177</v>
      </c>
      <c r="C55" t="s">
        <v>298</v>
      </c>
      <c r="D55" t="s">
        <v>162</v>
      </c>
      <c r="E55" s="37" t="s">
        <v>393</v>
      </c>
      <c r="F55" s="50">
        <v>10</v>
      </c>
      <c r="G55" s="43">
        <f>SUMIFS(TRANSACTION!D:D,TRANSACTION!C:C,Table1[[#This Row],[DESCRIPTION2]])</f>
        <v>0</v>
      </c>
      <c r="H55">
        <f>SUMIFS(TRANSACTION!$E:$E,TRANSACTION!$C:$C,Table1[[#This Row],[DESCRIPTION2]])</f>
        <v>10</v>
      </c>
      <c r="I55" s="42">
        <f>Table1[[#This Row],[OPENING]]+Table1[[#This Row],[RECEIPT]]-Table1[[#This Row],[ISSUANCE]]</f>
        <v>0</v>
      </c>
    </row>
    <row r="56" spans="1:12" x14ac:dyDescent="0.25">
      <c r="A56" s="35">
        <f>IF(Table1[[#This Row],[DESCRIPTION2]]="","",A55+1)</f>
        <v>55</v>
      </c>
      <c r="B56" t="s">
        <v>200</v>
      </c>
      <c r="C56" t="s">
        <v>179</v>
      </c>
      <c r="D56" t="s">
        <v>162</v>
      </c>
      <c r="E56" s="37" t="s">
        <v>393</v>
      </c>
      <c r="F56" s="50">
        <v>10</v>
      </c>
      <c r="G56" s="43">
        <f>SUMIFS(TRANSACTION!D:D,TRANSACTION!C:C,Table1[[#This Row],[DESCRIPTION2]])</f>
        <v>0</v>
      </c>
      <c r="H56">
        <f>SUMIFS(TRANSACTION!$E:$E,TRANSACTION!$C:$C,Table1[[#This Row],[DESCRIPTION2]])</f>
        <v>10</v>
      </c>
      <c r="I56" s="42">
        <f>Table1[[#This Row],[OPENING]]+Table1[[#This Row],[RECEIPT]]-Table1[[#This Row],[ISSUANCE]]</f>
        <v>0</v>
      </c>
    </row>
    <row r="57" spans="1:12" x14ac:dyDescent="0.25">
      <c r="A57" s="35">
        <f>IF(Table1[[#This Row],[DESCRIPTION2]]="","",A56+1)</f>
        <v>56</v>
      </c>
      <c r="B57" t="s">
        <v>188</v>
      </c>
      <c r="C57" t="s">
        <v>188</v>
      </c>
      <c r="D57" t="s">
        <v>181</v>
      </c>
      <c r="E57" s="37" t="s">
        <v>393</v>
      </c>
      <c r="F57" s="50">
        <v>4</v>
      </c>
      <c r="G57" s="43">
        <f>SUMIFS(TRANSACTION!D:D,TRANSACTION!C:C,Table1[[#This Row],[DESCRIPTION2]])</f>
        <v>0</v>
      </c>
      <c r="H57">
        <f>SUMIFS(TRANSACTION!$E:$E,TRANSACTION!$C:$C,Table1[[#This Row],[DESCRIPTION2]])</f>
        <v>2</v>
      </c>
      <c r="I57" s="42">
        <f>Table1[[#This Row],[OPENING]]+Table1[[#This Row],[RECEIPT]]-Table1[[#This Row],[ISSUANCE]]</f>
        <v>2</v>
      </c>
      <c r="K57" t="s">
        <v>658</v>
      </c>
    </row>
    <row r="58" spans="1:12" x14ac:dyDescent="0.25">
      <c r="A58" s="35">
        <f>IF(Table1[[#This Row],[DESCRIPTION2]]="","",A57+1)</f>
        <v>57</v>
      </c>
      <c r="B58" t="s">
        <v>184</v>
      </c>
      <c r="C58" t="s">
        <v>185</v>
      </c>
      <c r="D58" t="s">
        <v>181</v>
      </c>
      <c r="E58" s="37" t="s">
        <v>393</v>
      </c>
      <c r="F58" s="50">
        <v>25</v>
      </c>
      <c r="G58" s="43">
        <f>SUMIFS(TRANSACTION!D:D,TRANSACTION!C:C,Table1[[#This Row],[DESCRIPTION2]])</f>
        <v>0</v>
      </c>
      <c r="H58">
        <f>SUMIFS(TRANSACTION!$E:$E,TRANSACTION!$C:$C,Table1[[#This Row],[DESCRIPTION2]])</f>
        <v>21</v>
      </c>
      <c r="I58" s="42">
        <f>Table1[[#This Row],[OPENING]]+Table1[[#This Row],[RECEIPT]]-Table1[[#This Row],[ISSUANCE]]</f>
        <v>4</v>
      </c>
      <c r="K58" t="s">
        <v>659</v>
      </c>
    </row>
    <row r="59" spans="1:12" x14ac:dyDescent="0.25">
      <c r="A59" s="35">
        <f>IF(Table1[[#This Row],[DESCRIPTION2]]="","",A58+1)</f>
        <v>58</v>
      </c>
      <c r="B59" t="s">
        <v>183</v>
      </c>
      <c r="C59" t="s">
        <v>183</v>
      </c>
      <c r="D59" t="s">
        <v>181</v>
      </c>
      <c r="E59" s="37" t="s">
        <v>393</v>
      </c>
      <c r="F59" s="50">
        <v>5</v>
      </c>
      <c r="G59" s="43">
        <f>SUMIFS(TRANSACTION!D:D,TRANSACTION!C:C,Table1[[#This Row],[DESCRIPTION2]])</f>
        <v>0</v>
      </c>
      <c r="H59">
        <f>SUMIFS(TRANSACTION!$E:$E,TRANSACTION!$C:$C,Table1[[#This Row],[DESCRIPTION2]])</f>
        <v>5</v>
      </c>
      <c r="I59" s="42">
        <f>Table1[[#This Row],[OPENING]]+Table1[[#This Row],[RECEIPT]]-Table1[[#This Row],[ISSUANCE]]</f>
        <v>0</v>
      </c>
    </row>
    <row r="60" spans="1:12" x14ac:dyDescent="0.25">
      <c r="A60" s="35">
        <f>IF(Table1[[#This Row],[DESCRIPTION2]]="","",A59+1)</f>
        <v>59</v>
      </c>
      <c r="B60" t="s">
        <v>534</v>
      </c>
      <c r="C60" t="s">
        <v>189</v>
      </c>
      <c r="D60" t="s">
        <v>181</v>
      </c>
      <c r="E60" s="37" t="s">
        <v>393</v>
      </c>
      <c r="F60" s="50">
        <v>14</v>
      </c>
      <c r="G60" s="43">
        <f>SUMIFS(TRANSACTION!D:D,TRANSACTION!C:C,Table1[[#This Row],[DESCRIPTION2]])</f>
        <v>0</v>
      </c>
      <c r="H60">
        <f>SUMIFS(TRANSACTION!$E:$E,TRANSACTION!$C:$C,Table1[[#This Row],[DESCRIPTION2]])</f>
        <v>9</v>
      </c>
      <c r="I60" s="42">
        <f>Table1[[#This Row],[OPENING]]+Table1[[#This Row],[RECEIPT]]-Table1[[#This Row],[ISSUANCE]]</f>
        <v>5</v>
      </c>
      <c r="K60" t="s">
        <v>658</v>
      </c>
    </row>
    <row r="61" spans="1:12" x14ac:dyDescent="0.25">
      <c r="A61" s="35">
        <f>IF(Table1[[#This Row],[DESCRIPTION2]]="","",A60+1)</f>
        <v>60</v>
      </c>
      <c r="B61" t="s">
        <v>529</v>
      </c>
      <c r="C61" t="s">
        <v>190</v>
      </c>
      <c r="D61" t="s">
        <v>181</v>
      </c>
      <c r="E61" s="37" t="s">
        <v>393</v>
      </c>
      <c r="F61" s="50">
        <v>4</v>
      </c>
      <c r="G61" s="43">
        <f>SUMIFS(TRANSACTION!D:D,TRANSACTION!C:C,Table1[[#This Row],[DESCRIPTION2]])</f>
        <v>0</v>
      </c>
      <c r="H61">
        <f>SUMIFS(TRANSACTION!$E:$E,TRANSACTION!$C:$C,Table1[[#This Row],[DESCRIPTION2]])</f>
        <v>4</v>
      </c>
      <c r="I61" s="42">
        <f>Table1[[#This Row],[OPENING]]+Table1[[#This Row],[RECEIPT]]-Table1[[#This Row],[ISSUANCE]]</f>
        <v>0</v>
      </c>
    </row>
    <row r="62" spans="1:12" x14ac:dyDescent="0.25">
      <c r="A62" s="35">
        <f>IF(Table1[[#This Row],[DESCRIPTION2]]="","",A61+1)</f>
        <v>61</v>
      </c>
      <c r="B62" t="s">
        <v>191</v>
      </c>
      <c r="C62" t="s">
        <v>192</v>
      </c>
      <c r="D62" t="s">
        <v>181</v>
      </c>
      <c r="E62" s="37" t="s">
        <v>393</v>
      </c>
      <c r="F62" s="50">
        <v>6</v>
      </c>
      <c r="G62" s="43">
        <f>SUMIFS(TRANSACTION!D:D,TRANSACTION!C:C,Table1[[#This Row],[DESCRIPTION2]])</f>
        <v>0</v>
      </c>
      <c r="H62">
        <f>SUMIFS(TRANSACTION!$E:$E,TRANSACTION!$C:$C,Table1[[#This Row],[DESCRIPTION2]])</f>
        <v>3</v>
      </c>
      <c r="I62" s="42">
        <f>Table1[[#This Row],[OPENING]]+Table1[[#This Row],[RECEIPT]]-Table1[[#This Row],[ISSUANCE]]</f>
        <v>3</v>
      </c>
      <c r="K62" t="s">
        <v>660</v>
      </c>
      <c r="L62" s="52">
        <v>46081</v>
      </c>
    </row>
    <row r="63" spans="1:12" x14ac:dyDescent="0.25">
      <c r="A63" s="35">
        <f>IF(Table1[[#This Row],[DESCRIPTION2]]="","",A62+1)</f>
        <v>62</v>
      </c>
      <c r="B63" t="s">
        <v>163</v>
      </c>
      <c r="C63" t="s">
        <v>163</v>
      </c>
      <c r="D63" t="s">
        <v>181</v>
      </c>
      <c r="E63" s="37" t="s">
        <v>393</v>
      </c>
      <c r="F63" s="50">
        <v>11</v>
      </c>
      <c r="G63" s="43">
        <f>SUMIFS(TRANSACTION!D:D,TRANSACTION!C:C,Table1[[#This Row],[DESCRIPTION2]])</f>
        <v>0</v>
      </c>
      <c r="H63">
        <f>SUMIFS(TRANSACTION!$E:$E,TRANSACTION!$C:$C,Table1[[#This Row],[DESCRIPTION2]])</f>
        <v>9</v>
      </c>
      <c r="I63" s="42">
        <f>Table1[[#This Row],[OPENING]]+Table1[[#This Row],[RECEIPT]]-Table1[[#This Row],[ISSUANCE]]</f>
        <v>2</v>
      </c>
      <c r="K63" t="s">
        <v>661</v>
      </c>
      <c r="L63" s="52">
        <v>46170</v>
      </c>
    </row>
    <row r="64" spans="1:12" x14ac:dyDescent="0.25">
      <c r="A64" s="35">
        <f>IF(Table1[[#This Row],[DESCRIPTION2]]="","",A63+1)</f>
        <v>63</v>
      </c>
      <c r="B64" t="s">
        <v>182</v>
      </c>
      <c r="C64" t="s">
        <v>193</v>
      </c>
      <c r="D64" t="s">
        <v>181</v>
      </c>
      <c r="E64" s="37" t="s">
        <v>393</v>
      </c>
      <c r="F64" s="50">
        <v>9</v>
      </c>
      <c r="G64" s="43">
        <f>SUMIFS(TRANSACTION!D:D,TRANSACTION!C:C,Table1[[#This Row],[DESCRIPTION2]])</f>
        <v>0</v>
      </c>
      <c r="H64">
        <f>SUMIFS(TRANSACTION!$E:$E,TRANSACTION!$C:$C,Table1[[#This Row],[DESCRIPTION2]])</f>
        <v>8</v>
      </c>
      <c r="I64" s="42">
        <f>Table1[[#This Row],[OPENING]]+Table1[[#This Row],[RECEIPT]]-Table1[[#This Row],[ISSUANCE]]</f>
        <v>1</v>
      </c>
      <c r="K64" t="s">
        <v>662</v>
      </c>
    </row>
    <row r="65" spans="1:11" x14ac:dyDescent="0.25">
      <c r="A65" s="35">
        <f>IF(Table1[[#This Row],[DESCRIPTION2]]="","",A64+1)</f>
        <v>64</v>
      </c>
      <c r="B65" t="s">
        <v>194</v>
      </c>
      <c r="C65" t="s">
        <v>195</v>
      </c>
      <c r="D65" t="s">
        <v>181</v>
      </c>
      <c r="E65" s="37" t="s">
        <v>393</v>
      </c>
      <c r="F65" s="50">
        <v>4</v>
      </c>
      <c r="G65" s="43">
        <f>SUMIFS(TRANSACTION!D:D,TRANSACTION!C:C,Table1[[#This Row],[DESCRIPTION2]])</f>
        <v>0</v>
      </c>
      <c r="H65">
        <f>SUMIFS(TRANSACTION!$E:$E,TRANSACTION!$C:$C,Table1[[#This Row],[DESCRIPTION2]])</f>
        <v>4</v>
      </c>
      <c r="I65" s="42">
        <f>Table1[[#This Row],[OPENING]]+Table1[[#This Row],[RECEIPT]]-Table1[[#This Row],[ISSUANCE]]</f>
        <v>0</v>
      </c>
    </row>
    <row r="66" spans="1:11" x14ac:dyDescent="0.25">
      <c r="A66" s="35">
        <f>IF(Table1[[#This Row],[DESCRIPTION2]]="","",A65+1)</f>
        <v>65</v>
      </c>
      <c r="B66" t="s">
        <v>196</v>
      </c>
      <c r="C66" t="s">
        <v>197</v>
      </c>
      <c r="D66" t="s">
        <v>181</v>
      </c>
      <c r="E66" s="37" t="s">
        <v>393</v>
      </c>
      <c r="F66" s="50">
        <v>13</v>
      </c>
      <c r="G66" s="43">
        <f>SUMIFS(TRANSACTION!D:D,TRANSACTION!C:C,Table1[[#This Row],[DESCRIPTION2]])</f>
        <v>0</v>
      </c>
      <c r="H66">
        <f>SUMIFS(TRANSACTION!$E:$E,TRANSACTION!$C:$C,Table1[[#This Row],[DESCRIPTION2]])</f>
        <v>10</v>
      </c>
      <c r="I66" s="42">
        <f>Table1[[#This Row],[OPENING]]+Table1[[#This Row],[RECEIPT]]-Table1[[#This Row],[ISSUANCE]]</f>
        <v>3</v>
      </c>
      <c r="K66" t="s">
        <v>663</v>
      </c>
    </row>
    <row r="67" spans="1:11" x14ac:dyDescent="0.25">
      <c r="A67" s="35">
        <f>IF(Table1[[#This Row],[DESCRIPTION2]]="","",A66+1)</f>
        <v>66</v>
      </c>
      <c r="B67" t="s">
        <v>186</v>
      </c>
      <c r="C67" t="s">
        <v>187</v>
      </c>
      <c r="D67" t="s">
        <v>181</v>
      </c>
      <c r="E67" s="37" t="s">
        <v>393</v>
      </c>
      <c r="F67" s="50">
        <v>8</v>
      </c>
      <c r="G67" s="43">
        <f>SUMIFS(TRANSACTION!D:D,TRANSACTION!C:C,Table1[[#This Row],[DESCRIPTION2]])</f>
        <v>0</v>
      </c>
      <c r="H67">
        <f>SUMIFS(TRANSACTION!$E:$E,TRANSACTION!$C:$C,Table1[[#This Row],[DESCRIPTION2]])</f>
        <v>5</v>
      </c>
      <c r="I67" s="42">
        <f>Table1[[#This Row],[OPENING]]+Table1[[#This Row],[RECEIPT]]-Table1[[#This Row],[ISSUANCE]]</f>
        <v>3</v>
      </c>
      <c r="K67" t="s">
        <v>664</v>
      </c>
    </row>
    <row r="68" spans="1:11" x14ac:dyDescent="0.25">
      <c r="A68" s="35">
        <f>IF(Table1[[#This Row],[DESCRIPTION2]]="","",A67+1)</f>
        <v>67</v>
      </c>
      <c r="B68" t="s">
        <v>198</v>
      </c>
      <c r="C68" t="s">
        <v>199</v>
      </c>
      <c r="D68" t="s">
        <v>181</v>
      </c>
      <c r="E68" s="37" t="s">
        <v>393</v>
      </c>
      <c r="F68" s="50">
        <v>2</v>
      </c>
      <c r="G68" s="43">
        <f>SUMIFS(TRANSACTION!D:D,TRANSACTION!C:C,Table1[[#This Row],[DESCRIPTION2]])</f>
        <v>0</v>
      </c>
      <c r="H68">
        <f>SUMIFS(TRANSACTION!$E:$E,TRANSACTION!$C:$C,Table1[[#This Row],[DESCRIPTION2]])</f>
        <v>2</v>
      </c>
      <c r="I68" s="42">
        <f>Table1[[#This Row],[OPENING]]+Table1[[#This Row],[RECEIPT]]-Table1[[#This Row],[ISSUANCE]]</f>
        <v>0</v>
      </c>
    </row>
    <row r="69" spans="1:11" x14ac:dyDescent="0.25">
      <c r="A69" s="35">
        <f>IF(Table1[[#This Row],[DESCRIPTION2]]="","",A68+1)</f>
        <v>68</v>
      </c>
      <c r="B69" t="s">
        <v>201</v>
      </c>
      <c r="C69" t="s">
        <v>331</v>
      </c>
      <c r="D69" t="s">
        <v>181</v>
      </c>
      <c r="E69" s="37" t="s">
        <v>393</v>
      </c>
      <c r="F69" s="50">
        <v>10</v>
      </c>
      <c r="G69" s="43">
        <f>SUMIFS(TRANSACTION!D:D,TRANSACTION!C:C,Table1[[#This Row],[DESCRIPTION2]])</f>
        <v>0</v>
      </c>
      <c r="H69">
        <f>SUMIFS(TRANSACTION!$E:$E,TRANSACTION!$C:$C,Table1[[#This Row],[DESCRIPTION2]])</f>
        <v>10</v>
      </c>
      <c r="I69" s="42">
        <f>Table1[[#This Row],[OPENING]]+Table1[[#This Row],[RECEIPT]]-Table1[[#This Row],[ISSUANCE]]</f>
        <v>0</v>
      </c>
    </row>
    <row r="70" spans="1:11" x14ac:dyDescent="0.25">
      <c r="A70" s="35">
        <f>IF(Table1[[#This Row],[DESCRIPTION2]]="","",A69+1)</f>
        <v>69</v>
      </c>
      <c r="B70" t="s">
        <v>205</v>
      </c>
      <c r="C70" t="s">
        <v>330</v>
      </c>
      <c r="D70" t="s">
        <v>181</v>
      </c>
      <c r="E70" s="37" t="s">
        <v>393</v>
      </c>
      <c r="F70" s="50">
        <v>9</v>
      </c>
      <c r="G70" s="43">
        <f>SUMIFS(TRANSACTION!D:D,TRANSACTION!C:C,Table1[[#This Row],[DESCRIPTION2]])</f>
        <v>0</v>
      </c>
      <c r="H70">
        <f>SUMIFS(TRANSACTION!$E:$E,TRANSACTION!$C:$C,Table1[[#This Row],[DESCRIPTION2]])</f>
        <v>9</v>
      </c>
      <c r="I70" s="42">
        <f>Table1[[#This Row],[OPENING]]+Table1[[#This Row],[RECEIPT]]-Table1[[#This Row],[ISSUANCE]]</f>
        <v>0</v>
      </c>
    </row>
    <row r="71" spans="1:11" x14ac:dyDescent="0.25">
      <c r="A71" s="35">
        <f>IF(Table1[[#This Row],[DESCRIPTION2]]="","",A70+1)</f>
        <v>70</v>
      </c>
      <c r="B71" t="s">
        <v>204</v>
      </c>
      <c r="C71" t="s">
        <v>332</v>
      </c>
      <c r="D71" t="s">
        <v>181</v>
      </c>
      <c r="E71" s="37" t="s">
        <v>393</v>
      </c>
      <c r="F71" s="50">
        <v>11</v>
      </c>
      <c r="G71" s="43">
        <f>SUMIFS(TRANSACTION!D:D,TRANSACTION!C:C,Table1[[#This Row],[DESCRIPTION2]])</f>
        <v>0</v>
      </c>
      <c r="H71">
        <f>SUMIFS(TRANSACTION!$E:$E,TRANSACTION!$C:$C,Table1[[#This Row],[DESCRIPTION2]])</f>
        <v>11</v>
      </c>
      <c r="I71" s="42">
        <f>Table1[[#This Row],[OPENING]]+Table1[[#This Row],[RECEIPT]]-Table1[[#This Row],[ISSUANCE]]</f>
        <v>0</v>
      </c>
    </row>
    <row r="72" spans="1:11" x14ac:dyDescent="0.25">
      <c r="A72" s="35">
        <f>IF(Table1[[#This Row],[DESCRIPTION2]]="","",A71+1)</f>
        <v>71</v>
      </c>
      <c r="B72" t="s">
        <v>206</v>
      </c>
      <c r="C72" t="s">
        <v>326</v>
      </c>
      <c r="D72" t="s">
        <v>181</v>
      </c>
      <c r="E72" s="37" t="s">
        <v>393</v>
      </c>
      <c r="F72" s="50">
        <v>20</v>
      </c>
      <c r="G72" s="43">
        <f>SUMIFS(TRANSACTION!D:D,TRANSACTION!C:C,Table1[[#This Row],[DESCRIPTION2]])</f>
        <v>64</v>
      </c>
      <c r="H72">
        <f>SUMIFS(TRANSACTION!$E:$E,TRANSACTION!$C:$C,Table1[[#This Row],[DESCRIPTION2]])</f>
        <v>19</v>
      </c>
      <c r="I72" s="42">
        <f>Table1[[#This Row],[OPENING]]+Table1[[#This Row],[RECEIPT]]-Table1[[#This Row],[ISSUANCE]]</f>
        <v>65</v>
      </c>
    </row>
    <row r="73" spans="1:11" x14ac:dyDescent="0.25">
      <c r="A73" s="35">
        <f>IF(Table1[[#This Row],[DESCRIPTION2]]="","",A72+1)</f>
        <v>72</v>
      </c>
      <c r="B73" t="s">
        <v>207</v>
      </c>
      <c r="C73" t="s">
        <v>326</v>
      </c>
      <c r="D73" t="s">
        <v>181</v>
      </c>
      <c r="E73" s="37" t="s">
        <v>393</v>
      </c>
      <c r="F73" s="50">
        <v>3</v>
      </c>
      <c r="G73" s="43">
        <f>SUMIFS(TRANSACTION!D:D,TRANSACTION!C:C,Table1[[#This Row],[DESCRIPTION2]])</f>
        <v>1</v>
      </c>
      <c r="H73">
        <f>SUMIFS(TRANSACTION!$E:$E,TRANSACTION!$C:$C,Table1[[#This Row],[DESCRIPTION2]])</f>
        <v>0</v>
      </c>
      <c r="I73" s="42">
        <f>Table1[[#This Row],[OPENING]]+Table1[[#This Row],[RECEIPT]]-Table1[[#This Row],[ISSUANCE]]</f>
        <v>4</v>
      </c>
    </row>
    <row r="74" spans="1:11" x14ac:dyDescent="0.25">
      <c r="A74" s="35">
        <f>IF(Table1[[#This Row],[DESCRIPTION2]]="","",A73+1)</f>
        <v>73</v>
      </c>
      <c r="B74" t="s">
        <v>209</v>
      </c>
      <c r="C74" t="s">
        <v>327</v>
      </c>
      <c r="D74" t="s">
        <v>181</v>
      </c>
      <c r="E74" s="37" t="s">
        <v>393</v>
      </c>
      <c r="F74" s="50">
        <v>41</v>
      </c>
      <c r="G74" s="43">
        <f>SUMIFS(TRANSACTION!D:D,TRANSACTION!C:C,Table1[[#This Row],[DESCRIPTION2]])</f>
        <v>0</v>
      </c>
      <c r="H74">
        <f>SUMIFS(TRANSACTION!$E:$E,TRANSACTION!$C:$C,Table1[[#This Row],[DESCRIPTION2]])</f>
        <v>41</v>
      </c>
      <c r="I74" s="42">
        <f>Table1[[#This Row],[OPENING]]+Table1[[#This Row],[RECEIPT]]-Table1[[#This Row],[ISSUANCE]]</f>
        <v>0</v>
      </c>
    </row>
    <row r="75" spans="1:11" x14ac:dyDescent="0.25">
      <c r="A75" s="35">
        <f>IF(Table1[[#This Row],[DESCRIPTION2]]="","",A74+1)</f>
        <v>74</v>
      </c>
      <c r="B75" t="s">
        <v>210</v>
      </c>
      <c r="C75" t="s">
        <v>327</v>
      </c>
      <c r="D75" t="s">
        <v>181</v>
      </c>
      <c r="E75" s="37" t="s">
        <v>393</v>
      </c>
      <c r="F75" s="50">
        <v>62</v>
      </c>
      <c r="G75" s="43">
        <f>SUMIFS(TRANSACTION!D:D,TRANSACTION!C:C,Table1[[#This Row],[DESCRIPTION2]])</f>
        <v>0</v>
      </c>
      <c r="H75">
        <f>SUMIFS(TRANSACTION!$E:$E,TRANSACTION!$C:$C,Table1[[#This Row],[DESCRIPTION2]])</f>
        <v>62</v>
      </c>
      <c r="I75" s="42">
        <f>Table1[[#This Row],[OPENING]]+Table1[[#This Row],[RECEIPT]]-Table1[[#This Row],[ISSUANCE]]</f>
        <v>0</v>
      </c>
    </row>
    <row r="76" spans="1:11" x14ac:dyDescent="0.25">
      <c r="A76" s="35">
        <f>IF(Table1[[#This Row],[DESCRIPTION2]]="","",A75+1)</f>
        <v>75</v>
      </c>
      <c r="B76" t="s">
        <v>211</v>
      </c>
      <c r="C76" t="s">
        <v>362</v>
      </c>
      <c r="D76" t="s">
        <v>181</v>
      </c>
      <c r="E76" s="37" t="s">
        <v>393</v>
      </c>
      <c r="F76" s="50">
        <v>40</v>
      </c>
      <c r="G76" s="43">
        <f>SUMIFS(TRANSACTION!D:D,TRANSACTION!C:C,Table1[[#This Row],[DESCRIPTION2]])</f>
        <v>0</v>
      </c>
      <c r="H76">
        <f>SUMIFS(TRANSACTION!$E:$E,TRANSACTION!$C:$C,Table1[[#This Row],[DESCRIPTION2]])</f>
        <v>40</v>
      </c>
      <c r="I76" s="42">
        <f>Table1[[#This Row],[OPENING]]+Table1[[#This Row],[RECEIPT]]-Table1[[#This Row],[ISSUANCE]]</f>
        <v>0</v>
      </c>
    </row>
    <row r="77" spans="1:11" x14ac:dyDescent="0.25">
      <c r="A77" s="35">
        <f>IF(Table1[[#This Row],[DESCRIPTION2]]="","",A76+1)</f>
        <v>76</v>
      </c>
      <c r="B77" t="s">
        <v>212</v>
      </c>
      <c r="C77" t="s">
        <v>328</v>
      </c>
      <c r="D77" t="s">
        <v>181</v>
      </c>
      <c r="E77" s="37" t="s">
        <v>393</v>
      </c>
      <c r="F77" s="50">
        <v>48</v>
      </c>
      <c r="G77" s="43">
        <f>SUMIFS(TRANSACTION!D:D,TRANSACTION!C:C,Table1[[#This Row],[DESCRIPTION2]])</f>
        <v>150</v>
      </c>
      <c r="H77">
        <f>SUMIFS(TRANSACTION!$E:$E,TRANSACTION!$C:$C,Table1[[#This Row],[DESCRIPTION2]])</f>
        <v>111</v>
      </c>
      <c r="I77" s="42">
        <f>Table1[[#This Row],[OPENING]]+Table1[[#This Row],[RECEIPT]]-Table1[[#This Row],[ISSUANCE]]</f>
        <v>87</v>
      </c>
    </row>
    <row r="78" spans="1:11" x14ac:dyDescent="0.25">
      <c r="A78" s="35">
        <f>IF(Table1[[#This Row],[DESCRIPTION2]]="","",A77+1)</f>
        <v>77</v>
      </c>
      <c r="B78" t="s">
        <v>344</v>
      </c>
      <c r="C78" t="s">
        <v>328</v>
      </c>
      <c r="D78" t="s">
        <v>181</v>
      </c>
      <c r="E78" s="37" t="s">
        <v>393</v>
      </c>
      <c r="F78" s="50">
        <v>3</v>
      </c>
      <c r="G78" s="43">
        <f>SUMIFS(TRANSACTION!D:D,TRANSACTION!C:C,Table1[[#This Row],[DESCRIPTION2]])</f>
        <v>0</v>
      </c>
      <c r="H78">
        <f>SUMIFS(TRANSACTION!$E:$E,TRANSACTION!$C:$C,Table1[[#This Row],[DESCRIPTION2]])</f>
        <v>3</v>
      </c>
      <c r="I78" s="42">
        <f>Table1[[#This Row],[OPENING]]+Table1[[#This Row],[RECEIPT]]-Table1[[#This Row],[ISSUANCE]]</f>
        <v>0</v>
      </c>
    </row>
    <row r="79" spans="1:11" x14ac:dyDescent="0.25">
      <c r="A79" s="35">
        <f>IF(Table1[[#This Row],[DESCRIPTION2]]="","",A78+1)</f>
        <v>78</v>
      </c>
      <c r="B79" t="s">
        <v>213</v>
      </c>
      <c r="C79" t="s">
        <v>333</v>
      </c>
      <c r="D79" t="s">
        <v>181</v>
      </c>
      <c r="E79" s="37" t="s">
        <v>393</v>
      </c>
      <c r="F79" s="50">
        <v>16</v>
      </c>
      <c r="G79" s="43">
        <f>SUMIFS(TRANSACTION!D:D,TRANSACTION!C:C,Table1[[#This Row],[DESCRIPTION2]])</f>
        <v>0</v>
      </c>
      <c r="H79">
        <f>SUMIFS(TRANSACTION!$E:$E,TRANSACTION!$C:$C,Table1[[#This Row],[DESCRIPTION2]])</f>
        <v>16</v>
      </c>
      <c r="I79" s="42">
        <f>Table1[[#This Row],[OPENING]]+Table1[[#This Row],[RECEIPT]]-Table1[[#This Row],[ISSUANCE]]</f>
        <v>0</v>
      </c>
    </row>
    <row r="80" spans="1:11" x14ac:dyDescent="0.25">
      <c r="A80" s="35">
        <f>IF(Table1[[#This Row],[DESCRIPTION2]]="","",A79+1)</f>
        <v>79</v>
      </c>
      <c r="B80" t="s">
        <v>214</v>
      </c>
      <c r="C80" t="s">
        <v>334</v>
      </c>
      <c r="D80" t="s">
        <v>181</v>
      </c>
      <c r="E80" s="37" t="s">
        <v>393</v>
      </c>
      <c r="F80" s="50">
        <v>3</v>
      </c>
      <c r="G80" s="43">
        <f>SUMIFS(TRANSACTION!D:D,TRANSACTION!C:C,Table1[[#This Row],[DESCRIPTION2]])</f>
        <v>0</v>
      </c>
      <c r="H80">
        <f>SUMIFS(TRANSACTION!$E:$E,TRANSACTION!$C:$C,Table1[[#This Row],[DESCRIPTION2]])</f>
        <v>3</v>
      </c>
      <c r="I80" s="42">
        <f>Table1[[#This Row],[OPENING]]+Table1[[#This Row],[RECEIPT]]-Table1[[#This Row],[ISSUANCE]]</f>
        <v>0</v>
      </c>
    </row>
    <row r="81" spans="1:9" x14ac:dyDescent="0.25">
      <c r="A81" s="35">
        <f>IF(Table1[[#This Row],[DESCRIPTION2]]="","",A80+1)</f>
        <v>80</v>
      </c>
      <c r="B81" t="s">
        <v>215</v>
      </c>
      <c r="C81" t="s">
        <v>335</v>
      </c>
      <c r="D81" t="s">
        <v>181</v>
      </c>
      <c r="E81" s="37" t="s">
        <v>393</v>
      </c>
      <c r="F81" s="50">
        <v>0</v>
      </c>
      <c r="G81" s="43">
        <f>SUMIFS(TRANSACTION!D:D,TRANSACTION!C:C,Table1[[#This Row],[DESCRIPTION2]])</f>
        <v>0</v>
      </c>
      <c r="H81">
        <f>SUMIFS(TRANSACTION!$E:$E,TRANSACTION!$C:$C,Table1[[#This Row],[DESCRIPTION2]])</f>
        <v>0</v>
      </c>
      <c r="I81" s="42">
        <f>Table1[[#This Row],[OPENING]]+Table1[[#This Row],[RECEIPT]]-Table1[[#This Row],[ISSUANCE]]</f>
        <v>0</v>
      </c>
    </row>
    <row r="82" spans="1:9" x14ac:dyDescent="0.25">
      <c r="A82" s="35">
        <f>IF(Table1[[#This Row],[DESCRIPTION2]]="","",A81+1)</f>
        <v>81</v>
      </c>
      <c r="B82" t="s">
        <v>217</v>
      </c>
      <c r="C82" t="s">
        <v>336</v>
      </c>
      <c r="D82" t="s">
        <v>181</v>
      </c>
      <c r="E82" s="37" t="s">
        <v>393</v>
      </c>
      <c r="F82" s="50">
        <v>13</v>
      </c>
      <c r="G82" s="43">
        <f>SUMIFS(TRANSACTION!D:D,TRANSACTION!C:C,Table1[[#This Row],[DESCRIPTION2]])</f>
        <v>0</v>
      </c>
      <c r="H82">
        <f>SUMIFS(TRANSACTION!$E:$E,TRANSACTION!$C:$C,Table1[[#This Row],[DESCRIPTION2]])</f>
        <v>13</v>
      </c>
      <c r="I82" s="42">
        <f>Table1[[#This Row],[OPENING]]+Table1[[#This Row],[RECEIPT]]-Table1[[#This Row],[ISSUANCE]]</f>
        <v>0</v>
      </c>
    </row>
    <row r="83" spans="1:9" x14ac:dyDescent="0.25">
      <c r="A83" s="35">
        <f>IF(Table1[[#This Row],[DESCRIPTION2]]="","",A82+1)</f>
        <v>82</v>
      </c>
      <c r="B83" t="s">
        <v>218</v>
      </c>
      <c r="C83" t="s">
        <v>336</v>
      </c>
      <c r="D83" t="s">
        <v>181</v>
      </c>
      <c r="E83" s="37" t="s">
        <v>393</v>
      </c>
      <c r="F83" s="50">
        <v>5</v>
      </c>
      <c r="G83" s="43">
        <f>SUMIFS(TRANSACTION!D:D,TRANSACTION!C:C,Table1[[#This Row],[DESCRIPTION2]])</f>
        <v>0</v>
      </c>
      <c r="H83">
        <f>SUMIFS(TRANSACTION!$E:$E,TRANSACTION!$C:$C,Table1[[#This Row],[DESCRIPTION2]])</f>
        <v>5</v>
      </c>
      <c r="I83" s="42">
        <f>Table1[[#This Row],[OPENING]]+Table1[[#This Row],[RECEIPT]]-Table1[[#This Row],[ISSUANCE]]</f>
        <v>0</v>
      </c>
    </row>
    <row r="84" spans="1:9" x14ac:dyDescent="0.25">
      <c r="A84" s="35">
        <f>IF(Table1[[#This Row],[DESCRIPTION2]]="","",A83+1)</f>
        <v>83</v>
      </c>
      <c r="B84" t="s">
        <v>219</v>
      </c>
      <c r="C84" t="s">
        <v>337</v>
      </c>
      <c r="D84" t="s">
        <v>181</v>
      </c>
      <c r="E84" s="37" t="s">
        <v>393</v>
      </c>
      <c r="F84" s="50">
        <v>8</v>
      </c>
      <c r="G84" s="43">
        <f>SUMIFS(TRANSACTION!D:D,TRANSACTION!C:C,Table1[[#This Row],[DESCRIPTION2]])</f>
        <v>0</v>
      </c>
      <c r="H84">
        <f>SUMIFS(TRANSACTION!$E:$E,TRANSACTION!$C:$C,Table1[[#This Row],[DESCRIPTION2]])</f>
        <v>8</v>
      </c>
      <c r="I84" s="42">
        <f>Table1[[#This Row],[OPENING]]+Table1[[#This Row],[RECEIPT]]-Table1[[#This Row],[ISSUANCE]]</f>
        <v>0</v>
      </c>
    </row>
    <row r="85" spans="1:9" x14ac:dyDescent="0.25">
      <c r="A85" s="35">
        <f>IF(Table1[[#This Row],[DESCRIPTION2]]="","",A84+1)</f>
        <v>84</v>
      </c>
      <c r="B85" t="s">
        <v>262</v>
      </c>
      <c r="C85" t="s">
        <v>345</v>
      </c>
      <c r="D85" t="s">
        <v>181</v>
      </c>
      <c r="E85" s="37" t="s">
        <v>393</v>
      </c>
      <c r="F85" s="50">
        <v>27</v>
      </c>
      <c r="G85" s="43">
        <f>SUMIFS(TRANSACTION!D:D,TRANSACTION!C:C,Table1[[#This Row],[DESCRIPTION2]])</f>
        <v>0</v>
      </c>
      <c r="H85">
        <f>SUMIFS(TRANSACTION!$E:$E,TRANSACTION!$C:$C,Table1[[#This Row],[DESCRIPTION2]])</f>
        <v>27</v>
      </c>
      <c r="I85" s="42">
        <f>Table1[[#This Row],[OPENING]]+Table1[[#This Row],[RECEIPT]]-Table1[[#This Row],[ISSUANCE]]</f>
        <v>0</v>
      </c>
    </row>
    <row r="86" spans="1:9" x14ac:dyDescent="0.25">
      <c r="A86" s="35">
        <f>IF(Table1[[#This Row],[DESCRIPTION2]]="","",A85+1)</f>
        <v>85</v>
      </c>
      <c r="B86" t="s">
        <v>220</v>
      </c>
      <c r="C86" t="s">
        <v>345</v>
      </c>
      <c r="D86" t="s">
        <v>181</v>
      </c>
      <c r="E86" s="37" t="s">
        <v>393</v>
      </c>
      <c r="F86" s="50">
        <v>6</v>
      </c>
      <c r="G86" s="43">
        <f>SUMIFS(TRANSACTION!D:D,TRANSACTION!C:C,Table1[[#This Row],[DESCRIPTION2]])</f>
        <v>0</v>
      </c>
      <c r="H86">
        <f>SUMIFS(TRANSACTION!$E:$E,TRANSACTION!$C:$C,Table1[[#This Row],[DESCRIPTION2]])</f>
        <v>6</v>
      </c>
      <c r="I86" s="42">
        <f>Table1[[#This Row],[OPENING]]+Table1[[#This Row],[RECEIPT]]-Table1[[#This Row],[ISSUANCE]]</f>
        <v>0</v>
      </c>
    </row>
    <row r="87" spans="1:9" x14ac:dyDescent="0.25">
      <c r="A87" s="35">
        <f>IF(Table1[[#This Row],[DESCRIPTION2]]="","",A86+1)</f>
        <v>86</v>
      </c>
      <c r="B87" t="s">
        <v>221</v>
      </c>
      <c r="C87" t="s">
        <v>323</v>
      </c>
      <c r="D87" t="s">
        <v>181</v>
      </c>
      <c r="E87" s="37" t="s">
        <v>393</v>
      </c>
      <c r="F87" s="50">
        <v>19</v>
      </c>
      <c r="G87" s="43">
        <f>SUMIFS(TRANSACTION!D:D,TRANSACTION!C:C,Table1[[#This Row],[DESCRIPTION2]])</f>
        <v>0</v>
      </c>
      <c r="H87">
        <f>SUMIFS(TRANSACTION!$E:$E,TRANSACTION!$C:$C,Table1[[#This Row],[DESCRIPTION2]])</f>
        <v>19</v>
      </c>
      <c r="I87" s="42">
        <f>Table1[[#This Row],[OPENING]]+Table1[[#This Row],[RECEIPT]]-Table1[[#This Row],[ISSUANCE]]</f>
        <v>0</v>
      </c>
    </row>
    <row r="88" spans="1:9" x14ac:dyDescent="0.25">
      <c r="A88" s="35">
        <f>IF(Table1[[#This Row],[DESCRIPTION2]]="","",A87+1)</f>
        <v>87</v>
      </c>
      <c r="B88" t="s">
        <v>222</v>
      </c>
      <c r="C88" t="s">
        <v>323</v>
      </c>
      <c r="D88" t="s">
        <v>181</v>
      </c>
      <c r="E88" s="37" t="s">
        <v>393</v>
      </c>
      <c r="F88" s="50">
        <v>9</v>
      </c>
      <c r="G88" s="43">
        <f>SUMIFS(TRANSACTION!D:D,TRANSACTION!C:C,Table1[[#This Row],[DESCRIPTION2]])</f>
        <v>0</v>
      </c>
      <c r="H88">
        <f>SUMIFS(TRANSACTION!$E:$E,TRANSACTION!$C:$C,Table1[[#This Row],[DESCRIPTION2]])</f>
        <v>9</v>
      </c>
      <c r="I88" s="42">
        <f>Table1[[#This Row],[OPENING]]+Table1[[#This Row],[RECEIPT]]-Table1[[#This Row],[ISSUANCE]]</f>
        <v>0</v>
      </c>
    </row>
    <row r="89" spans="1:9" x14ac:dyDescent="0.25">
      <c r="A89" s="35">
        <f>IF(Table1[[#This Row],[DESCRIPTION2]]="","",A88+1)</f>
        <v>88</v>
      </c>
      <c r="B89" t="s">
        <v>223</v>
      </c>
      <c r="C89" t="s">
        <v>288</v>
      </c>
      <c r="D89" t="s">
        <v>181</v>
      </c>
      <c r="E89" s="37" t="s">
        <v>393</v>
      </c>
      <c r="F89" s="50">
        <v>41</v>
      </c>
      <c r="G89" s="43">
        <f>SUMIFS(TRANSACTION!D:D,TRANSACTION!C:C,Table1[[#This Row],[DESCRIPTION2]])</f>
        <v>20</v>
      </c>
      <c r="H89">
        <f>SUMIFS(TRANSACTION!$E:$E,TRANSACTION!$C:$C,Table1[[#This Row],[DESCRIPTION2]])</f>
        <v>46</v>
      </c>
      <c r="I89" s="42">
        <f>Table1[[#This Row],[OPENING]]+Table1[[#This Row],[RECEIPT]]-Table1[[#This Row],[ISSUANCE]]</f>
        <v>15</v>
      </c>
    </row>
    <row r="90" spans="1:9" x14ac:dyDescent="0.25">
      <c r="A90" s="35">
        <f>IF(Table1[[#This Row],[DESCRIPTION2]]="","",A89+1)</f>
        <v>89</v>
      </c>
      <c r="B90" t="s">
        <v>346</v>
      </c>
      <c r="C90" t="s">
        <v>338</v>
      </c>
      <c r="D90" t="s">
        <v>181</v>
      </c>
      <c r="E90" s="37" t="s">
        <v>393</v>
      </c>
      <c r="F90" s="50">
        <v>53</v>
      </c>
      <c r="G90" s="43">
        <f>SUMIFS(TRANSACTION!D:D,TRANSACTION!C:C,Table1[[#This Row],[DESCRIPTION2]])</f>
        <v>0</v>
      </c>
      <c r="H90">
        <f>SUMIFS(TRANSACTION!$E:$E,TRANSACTION!$C:$C,Table1[[#This Row],[DESCRIPTION2]])</f>
        <v>53</v>
      </c>
      <c r="I90" s="42">
        <f>Table1[[#This Row],[OPENING]]+Table1[[#This Row],[RECEIPT]]-Table1[[#This Row],[ISSUANCE]]</f>
        <v>0</v>
      </c>
    </row>
    <row r="91" spans="1:9" x14ac:dyDescent="0.25">
      <c r="A91" s="35">
        <f>IF(Table1[[#This Row],[DESCRIPTION2]]="","",A90+1)</f>
        <v>90</v>
      </c>
      <c r="B91" t="s">
        <v>224</v>
      </c>
      <c r="C91" t="s">
        <v>338</v>
      </c>
      <c r="D91" t="s">
        <v>181</v>
      </c>
      <c r="E91" s="37" t="s">
        <v>393</v>
      </c>
      <c r="F91" s="50">
        <v>4</v>
      </c>
      <c r="G91" s="43">
        <f>SUMIFS(TRANSACTION!D:D,TRANSACTION!C:C,Table1[[#This Row],[DESCRIPTION2]])</f>
        <v>0</v>
      </c>
      <c r="H91">
        <f>SUMIFS(TRANSACTION!$E:$E,TRANSACTION!$C:$C,Table1[[#This Row],[DESCRIPTION2]])</f>
        <v>4</v>
      </c>
      <c r="I91" s="42">
        <f>Table1[[#This Row],[OPENING]]+Table1[[#This Row],[RECEIPT]]-Table1[[#This Row],[ISSUANCE]]</f>
        <v>0</v>
      </c>
    </row>
    <row r="92" spans="1:9" x14ac:dyDescent="0.25">
      <c r="A92" s="35">
        <f>IF(Table1[[#This Row],[DESCRIPTION2]]="","",A91+1)</f>
        <v>91</v>
      </c>
      <c r="B92" t="s">
        <v>225</v>
      </c>
      <c r="C92" t="s">
        <v>339</v>
      </c>
      <c r="D92" t="s">
        <v>181</v>
      </c>
      <c r="E92" s="37" t="s">
        <v>393</v>
      </c>
      <c r="F92" s="50">
        <v>13</v>
      </c>
      <c r="G92" s="43">
        <f>SUMIFS(TRANSACTION!D:D,TRANSACTION!C:C,Table1[[#This Row],[DESCRIPTION2]])</f>
        <v>0</v>
      </c>
      <c r="H92">
        <f>SUMIFS(TRANSACTION!$E:$E,TRANSACTION!$C:$C,Table1[[#This Row],[DESCRIPTION2]])</f>
        <v>13</v>
      </c>
      <c r="I92" s="42">
        <f>Table1[[#This Row],[OPENING]]+Table1[[#This Row],[RECEIPT]]-Table1[[#This Row],[ISSUANCE]]</f>
        <v>0</v>
      </c>
    </row>
    <row r="93" spans="1:9" x14ac:dyDescent="0.25">
      <c r="A93" s="35">
        <f>IF(Table1[[#This Row],[DESCRIPTION2]]="","",A92+1)</f>
        <v>92</v>
      </c>
      <c r="B93" t="s">
        <v>226</v>
      </c>
      <c r="C93" t="s">
        <v>339</v>
      </c>
      <c r="D93" t="s">
        <v>181</v>
      </c>
      <c r="E93" s="37" t="s">
        <v>393</v>
      </c>
      <c r="F93" s="50">
        <v>8</v>
      </c>
      <c r="G93" s="43">
        <f>SUMIFS(TRANSACTION!D:D,TRANSACTION!C:C,Table1[[#This Row],[DESCRIPTION2]])</f>
        <v>2</v>
      </c>
      <c r="H93">
        <f>SUMIFS(TRANSACTION!$E:$E,TRANSACTION!$C:$C,Table1[[#This Row],[DESCRIPTION2]])</f>
        <v>0</v>
      </c>
      <c r="I93" s="42">
        <f>Table1[[#This Row],[OPENING]]+Table1[[#This Row],[RECEIPT]]-Table1[[#This Row],[ISSUANCE]]</f>
        <v>10</v>
      </c>
    </row>
    <row r="94" spans="1:9" x14ac:dyDescent="0.25">
      <c r="A94" s="35">
        <f>IF(Table1[[#This Row],[DESCRIPTION2]]="","",A93+1)</f>
        <v>93</v>
      </c>
      <c r="B94" t="s">
        <v>227</v>
      </c>
      <c r="C94" t="s">
        <v>341</v>
      </c>
      <c r="D94" t="s">
        <v>181</v>
      </c>
      <c r="E94" s="37" t="s">
        <v>393</v>
      </c>
      <c r="F94" s="50">
        <v>4</v>
      </c>
      <c r="G94" s="43">
        <f>SUMIFS(TRANSACTION!D:D,TRANSACTION!C:C,Table1[[#This Row],[DESCRIPTION2]])</f>
        <v>0</v>
      </c>
      <c r="H94">
        <f>SUMIFS(TRANSACTION!$E:$E,TRANSACTION!$C:$C,Table1[[#This Row],[DESCRIPTION2]])</f>
        <v>4</v>
      </c>
      <c r="I94" s="42">
        <f>Table1[[#This Row],[OPENING]]+Table1[[#This Row],[RECEIPT]]-Table1[[#This Row],[ISSUANCE]]</f>
        <v>0</v>
      </c>
    </row>
    <row r="95" spans="1:9" x14ac:dyDescent="0.25">
      <c r="A95" s="35">
        <f>IF(Table1[[#This Row],[DESCRIPTION2]]="","",A94+1)</f>
        <v>94</v>
      </c>
      <c r="B95" t="s">
        <v>228</v>
      </c>
      <c r="C95" t="s">
        <v>342</v>
      </c>
      <c r="D95" t="s">
        <v>181</v>
      </c>
      <c r="E95" s="37" t="s">
        <v>393</v>
      </c>
      <c r="F95" s="50">
        <v>2</v>
      </c>
      <c r="G95" s="43">
        <f>SUMIFS(TRANSACTION!D:D,TRANSACTION!C:C,Table1[[#This Row],[DESCRIPTION2]])</f>
        <v>20</v>
      </c>
      <c r="H95">
        <f>SUMIFS(TRANSACTION!$E:$E,TRANSACTION!$C:$C,Table1[[#This Row],[DESCRIPTION2]])</f>
        <v>22</v>
      </c>
      <c r="I95" s="42">
        <f>Table1[[#This Row],[OPENING]]+Table1[[#This Row],[RECEIPT]]-Table1[[#This Row],[ISSUANCE]]</f>
        <v>0</v>
      </c>
    </row>
    <row r="96" spans="1:9" x14ac:dyDescent="0.25">
      <c r="A96" s="35">
        <f>IF(Table1[[#This Row],[DESCRIPTION2]]="","",A95+1)</f>
        <v>95</v>
      </c>
      <c r="B96" t="s">
        <v>229</v>
      </c>
      <c r="C96" t="s">
        <v>334</v>
      </c>
      <c r="D96" t="s">
        <v>181</v>
      </c>
      <c r="E96" s="37" t="s">
        <v>393</v>
      </c>
      <c r="F96" s="50">
        <v>13</v>
      </c>
      <c r="G96" s="43">
        <f>SUMIFS(TRANSACTION!D:D,TRANSACTION!C:C,Table1[[#This Row],[DESCRIPTION2]])</f>
        <v>0</v>
      </c>
      <c r="H96">
        <f>SUMIFS(TRANSACTION!$E:$E,TRANSACTION!$C:$C,Table1[[#This Row],[DESCRIPTION2]])</f>
        <v>13</v>
      </c>
      <c r="I96" s="42">
        <f>Table1[[#This Row],[OPENING]]+Table1[[#This Row],[RECEIPT]]-Table1[[#This Row],[ISSUANCE]]</f>
        <v>0</v>
      </c>
    </row>
    <row r="97" spans="1:11" x14ac:dyDescent="0.25">
      <c r="A97" s="35">
        <f>IF(Table1[[#This Row],[DESCRIPTION2]]="","",A96+1)</f>
        <v>96</v>
      </c>
      <c r="B97" t="s">
        <v>230</v>
      </c>
      <c r="C97" t="s">
        <v>341</v>
      </c>
      <c r="D97" t="s">
        <v>181</v>
      </c>
      <c r="E97" s="37" t="s">
        <v>393</v>
      </c>
      <c r="F97" s="50">
        <v>9</v>
      </c>
      <c r="G97" s="43">
        <f>SUMIFS(TRANSACTION!D:D,TRANSACTION!C:C,Table1[[#This Row],[DESCRIPTION2]])</f>
        <v>0</v>
      </c>
      <c r="H97">
        <f>SUMIFS(TRANSACTION!$E:$E,TRANSACTION!$C:$C,Table1[[#This Row],[DESCRIPTION2]])</f>
        <v>9</v>
      </c>
      <c r="I97" s="42">
        <f>Table1[[#This Row],[OPENING]]+Table1[[#This Row],[RECEIPT]]-Table1[[#This Row],[ISSUANCE]]</f>
        <v>0</v>
      </c>
    </row>
    <row r="98" spans="1:11" x14ac:dyDescent="0.25">
      <c r="A98" s="35">
        <f>IF(Table1[[#This Row],[DESCRIPTION2]]="","",A97+1)</f>
        <v>97</v>
      </c>
      <c r="B98" t="s">
        <v>231</v>
      </c>
      <c r="C98" t="s">
        <v>349</v>
      </c>
      <c r="D98" t="s">
        <v>181</v>
      </c>
      <c r="E98" s="37" t="s">
        <v>393</v>
      </c>
      <c r="F98" s="50">
        <v>32</v>
      </c>
      <c r="G98" s="43">
        <f>SUMIFS(TRANSACTION!D:D,TRANSACTION!C:C,Table1[[#This Row],[DESCRIPTION2]])</f>
        <v>0</v>
      </c>
      <c r="H98">
        <f>SUMIFS(TRANSACTION!$E:$E,TRANSACTION!$C:$C,Table1[[#This Row],[DESCRIPTION2]])</f>
        <v>32</v>
      </c>
      <c r="I98" s="42">
        <f>Table1[[#This Row],[OPENING]]+Table1[[#This Row],[RECEIPT]]-Table1[[#This Row],[ISSUANCE]]</f>
        <v>0</v>
      </c>
    </row>
    <row r="99" spans="1:11" x14ac:dyDescent="0.25">
      <c r="A99" s="35">
        <f>IF(Table1[[#This Row],[DESCRIPTION2]]="","",A98+1)</f>
        <v>98</v>
      </c>
      <c r="B99" t="s">
        <v>261</v>
      </c>
      <c r="C99" t="s">
        <v>350</v>
      </c>
      <c r="D99" t="s">
        <v>181</v>
      </c>
      <c r="E99" s="37" t="s">
        <v>393</v>
      </c>
      <c r="F99" s="50">
        <v>11</v>
      </c>
      <c r="G99" s="43">
        <f>SUMIFS(TRANSACTION!D:D,TRANSACTION!C:C,Table1[[#This Row],[DESCRIPTION2]])</f>
        <v>0</v>
      </c>
      <c r="H99">
        <f>SUMIFS(TRANSACTION!$E:$E,TRANSACTION!$C:$C,Table1[[#This Row],[DESCRIPTION2]])</f>
        <v>11</v>
      </c>
      <c r="I99" s="42">
        <f>Table1[[#This Row],[OPENING]]+Table1[[#This Row],[RECEIPT]]-Table1[[#This Row],[ISSUANCE]]</f>
        <v>0</v>
      </c>
    </row>
    <row r="100" spans="1:11" x14ac:dyDescent="0.25">
      <c r="A100" s="35">
        <f>IF(Table1[[#This Row],[DESCRIPTION2]]="","",A99+1)</f>
        <v>99</v>
      </c>
      <c r="B100" t="s">
        <v>233</v>
      </c>
      <c r="C100" t="s">
        <v>351</v>
      </c>
      <c r="D100" t="s">
        <v>181</v>
      </c>
      <c r="E100" s="37" t="s">
        <v>393</v>
      </c>
      <c r="F100" s="50">
        <v>2</v>
      </c>
      <c r="G100" s="43">
        <f>SUMIFS(TRANSACTION!D:D,TRANSACTION!C:C,Table1[[#This Row],[DESCRIPTION2]])</f>
        <v>0</v>
      </c>
      <c r="H100">
        <f>SUMIFS(TRANSACTION!$E:$E,TRANSACTION!$C:$C,Table1[[#This Row],[DESCRIPTION2]])</f>
        <v>2</v>
      </c>
      <c r="I100" s="42">
        <f>Table1[[#This Row],[OPENING]]+Table1[[#This Row],[RECEIPT]]-Table1[[#This Row],[ISSUANCE]]</f>
        <v>0</v>
      </c>
    </row>
    <row r="101" spans="1:11" x14ac:dyDescent="0.25">
      <c r="A101" s="35">
        <f>IF(Table1[[#This Row],[DESCRIPTION2]]="","",A100+1)</f>
        <v>100</v>
      </c>
      <c r="B101" t="s">
        <v>234</v>
      </c>
      <c r="C101" t="s">
        <v>337</v>
      </c>
      <c r="D101" t="s">
        <v>181</v>
      </c>
      <c r="E101" s="37" t="s">
        <v>393</v>
      </c>
      <c r="F101" s="50">
        <v>8</v>
      </c>
      <c r="G101" s="43">
        <f>SUMIFS(TRANSACTION!D:D,TRANSACTION!C:C,Table1[[#This Row],[DESCRIPTION2]])</f>
        <v>10</v>
      </c>
      <c r="H101">
        <f>SUMIFS(TRANSACTION!$E:$E,TRANSACTION!$C:$C,Table1[[#This Row],[DESCRIPTION2]])</f>
        <v>18</v>
      </c>
      <c r="I101" s="42">
        <f>Table1[[#This Row],[OPENING]]+Table1[[#This Row],[RECEIPT]]-Table1[[#This Row],[ISSUANCE]]</f>
        <v>0</v>
      </c>
    </row>
    <row r="102" spans="1:11" x14ac:dyDescent="0.25">
      <c r="A102" s="35">
        <f>IF(Table1[[#This Row],[DESCRIPTION2]]="","",A101+1)</f>
        <v>101</v>
      </c>
      <c r="B102" t="s">
        <v>235</v>
      </c>
      <c r="C102" t="s">
        <v>337</v>
      </c>
      <c r="D102" t="s">
        <v>181</v>
      </c>
      <c r="E102" s="37" t="s">
        <v>393</v>
      </c>
      <c r="F102" s="50">
        <v>7</v>
      </c>
      <c r="G102" s="43">
        <f>SUMIFS(TRANSACTION!D:D,TRANSACTION!C:C,Table1[[#This Row],[DESCRIPTION2]])</f>
        <v>20</v>
      </c>
      <c r="H102">
        <f>SUMIFS(TRANSACTION!$E:$E,TRANSACTION!$C:$C,Table1[[#This Row],[DESCRIPTION2]])</f>
        <v>27</v>
      </c>
      <c r="I102" s="42">
        <f>Table1[[#This Row],[OPENING]]+Table1[[#This Row],[RECEIPT]]-Table1[[#This Row],[ISSUANCE]]</f>
        <v>0</v>
      </c>
    </row>
    <row r="103" spans="1:11" x14ac:dyDescent="0.25">
      <c r="A103" s="35">
        <f>IF(Table1[[#This Row],[DESCRIPTION2]]="","",A102+1)</f>
        <v>102</v>
      </c>
      <c r="B103" t="s">
        <v>236</v>
      </c>
      <c r="C103" t="s">
        <v>349</v>
      </c>
      <c r="D103" t="s">
        <v>181</v>
      </c>
      <c r="E103" s="37" t="s">
        <v>393</v>
      </c>
      <c r="F103" s="50">
        <v>11</v>
      </c>
      <c r="G103" s="43">
        <f>SUMIFS(TRANSACTION!D:D,TRANSACTION!C:C,Table1[[#This Row],[DESCRIPTION2]])</f>
        <v>0</v>
      </c>
      <c r="H103">
        <f>SUMIFS(TRANSACTION!$E:$E,TRANSACTION!$C:$C,Table1[[#This Row],[DESCRIPTION2]])</f>
        <v>11</v>
      </c>
      <c r="I103" s="42">
        <f>Table1[[#This Row],[OPENING]]+Table1[[#This Row],[RECEIPT]]-Table1[[#This Row],[ISSUANCE]]</f>
        <v>0</v>
      </c>
    </row>
    <row r="104" spans="1:11" x14ac:dyDescent="0.25">
      <c r="A104" s="35">
        <f>IF(Table1[[#This Row],[DESCRIPTION2]]="","",A103+1)</f>
        <v>103</v>
      </c>
      <c r="B104" t="s">
        <v>237</v>
      </c>
      <c r="C104" t="s">
        <v>352</v>
      </c>
      <c r="D104" t="s">
        <v>181</v>
      </c>
      <c r="E104" s="37" t="s">
        <v>393</v>
      </c>
      <c r="F104" s="50">
        <v>11</v>
      </c>
      <c r="G104" s="43">
        <f>SUMIFS(TRANSACTION!D:D,TRANSACTION!C:C,Table1[[#This Row],[DESCRIPTION2]])</f>
        <v>45</v>
      </c>
      <c r="H104">
        <f>SUMIFS(TRANSACTION!$E:$E,TRANSACTION!$C:$C,Table1[[#This Row],[DESCRIPTION2]])</f>
        <v>26</v>
      </c>
      <c r="I104" s="42">
        <f>Table1[[#This Row],[OPENING]]+Table1[[#This Row],[RECEIPT]]-Table1[[#This Row],[ISSUANCE]]</f>
        <v>30</v>
      </c>
    </row>
    <row r="105" spans="1:11" x14ac:dyDescent="0.25">
      <c r="A105" s="35">
        <f>IF(Table1[[#This Row],[DESCRIPTION2]]="","",A104+1)</f>
        <v>104</v>
      </c>
      <c r="B105" t="s">
        <v>238</v>
      </c>
      <c r="C105" t="s">
        <v>331</v>
      </c>
      <c r="D105" t="s">
        <v>181</v>
      </c>
      <c r="E105" s="37" t="s">
        <v>393</v>
      </c>
      <c r="F105" s="50">
        <v>7</v>
      </c>
      <c r="G105" s="43">
        <f>SUMIFS(TRANSACTION!D:D,TRANSACTION!C:C,Table1[[#This Row],[DESCRIPTION2]])</f>
        <v>0</v>
      </c>
      <c r="H105">
        <f>SUMIFS(TRANSACTION!$E:$E,TRANSACTION!$C:$C,Table1[[#This Row],[DESCRIPTION2]])</f>
        <v>7</v>
      </c>
      <c r="I105" s="42">
        <f>Table1[[#This Row],[OPENING]]+Table1[[#This Row],[RECEIPT]]-Table1[[#This Row],[ISSUANCE]]</f>
        <v>0</v>
      </c>
    </row>
    <row r="106" spans="1:11" x14ac:dyDescent="0.25">
      <c r="A106" s="35">
        <f>IF(Table1[[#This Row],[DESCRIPTION2]]="","",A105+1)</f>
        <v>105</v>
      </c>
      <c r="B106" t="s">
        <v>239</v>
      </c>
      <c r="C106" t="s">
        <v>353</v>
      </c>
      <c r="D106" t="s">
        <v>181</v>
      </c>
      <c r="E106" s="37" t="s">
        <v>393</v>
      </c>
      <c r="F106" s="50">
        <v>5</v>
      </c>
      <c r="G106" s="43">
        <f>SUMIFS(TRANSACTION!D:D,TRANSACTION!C:C,Table1[[#This Row],[DESCRIPTION2]])</f>
        <v>0</v>
      </c>
      <c r="H106">
        <f>SUMIFS(TRANSACTION!$E:$E,TRANSACTION!$C:$C,Table1[[#This Row],[DESCRIPTION2]])</f>
        <v>5</v>
      </c>
      <c r="I106" s="42">
        <f>Table1[[#This Row],[OPENING]]+Table1[[#This Row],[RECEIPT]]-Table1[[#This Row],[ISSUANCE]]</f>
        <v>0</v>
      </c>
    </row>
    <row r="107" spans="1:11" x14ac:dyDescent="0.25">
      <c r="A107" s="35">
        <f>IF(Table1[[#This Row],[DESCRIPTION2]]="","",A106+1)</f>
        <v>106</v>
      </c>
      <c r="B107" t="s">
        <v>240</v>
      </c>
      <c r="C107" t="s">
        <v>348</v>
      </c>
      <c r="D107" t="s">
        <v>181</v>
      </c>
      <c r="E107" s="37" t="s">
        <v>393</v>
      </c>
      <c r="F107" s="50">
        <v>12</v>
      </c>
      <c r="G107" s="43">
        <f>SUMIFS(TRANSACTION!D:D,TRANSACTION!C:C,Table1[[#This Row],[DESCRIPTION2]])</f>
        <v>20</v>
      </c>
      <c r="H107">
        <f>SUMIFS(TRANSACTION!$E:$E,TRANSACTION!$C:$C,Table1[[#This Row],[DESCRIPTION2]])</f>
        <v>32</v>
      </c>
      <c r="I107" s="42">
        <f>Table1[[#This Row],[OPENING]]+Table1[[#This Row],[RECEIPT]]-Table1[[#This Row],[ISSUANCE]]</f>
        <v>0</v>
      </c>
    </row>
    <row r="108" spans="1:11" x14ac:dyDescent="0.25">
      <c r="A108" s="35">
        <f>IF(Table1[[#This Row],[DESCRIPTION2]]="","",A107+1)</f>
        <v>107</v>
      </c>
      <c r="B108" t="s">
        <v>241</v>
      </c>
      <c r="C108" t="s">
        <v>354</v>
      </c>
      <c r="D108" t="s">
        <v>181</v>
      </c>
      <c r="E108" s="37" t="s">
        <v>393</v>
      </c>
      <c r="F108" s="50">
        <v>2</v>
      </c>
      <c r="G108" s="43">
        <f>SUMIFS(TRANSACTION!D:D,TRANSACTION!C:C,Table1[[#This Row],[DESCRIPTION2]])</f>
        <v>0</v>
      </c>
      <c r="H108">
        <f>SUMIFS(TRANSACTION!$E:$E,TRANSACTION!$C:$C,Table1[[#This Row],[DESCRIPTION2]])</f>
        <v>2</v>
      </c>
      <c r="I108" s="42">
        <f>Table1[[#This Row],[OPENING]]+Table1[[#This Row],[RECEIPT]]-Table1[[#This Row],[ISSUANCE]]</f>
        <v>0</v>
      </c>
    </row>
    <row r="109" spans="1:11" x14ac:dyDescent="0.25">
      <c r="A109" s="35">
        <f>IF(Table1[[#This Row],[DESCRIPTION2]]="","",A108+1)</f>
        <v>108</v>
      </c>
      <c r="B109" t="s">
        <v>190</v>
      </c>
      <c r="C109" t="s">
        <v>190</v>
      </c>
      <c r="D109" t="s">
        <v>181</v>
      </c>
      <c r="E109" s="37" t="s">
        <v>393</v>
      </c>
      <c r="F109" s="50">
        <v>0</v>
      </c>
      <c r="G109" s="43">
        <f>SUMIFS(TRANSACTION!D:D,TRANSACTION!C:C,Table1[[#This Row],[DESCRIPTION2]])</f>
        <v>12</v>
      </c>
      <c r="H109">
        <f>SUMIFS(TRANSACTION!$E:$E,TRANSACTION!$C:$C,Table1[[#This Row],[DESCRIPTION2]])</f>
        <v>6</v>
      </c>
      <c r="I109" s="42">
        <f>Table1[[#This Row],[OPENING]]+Table1[[#This Row],[RECEIPT]]-Table1[[#This Row],[ISSUANCE]]</f>
        <v>6</v>
      </c>
    </row>
    <row r="110" spans="1:11" x14ac:dyDescent="0.25">
      <c r="A110" s="35">
        <f>IF(Table1[[#This Row],[DESCRIPTION2]]="","",A109+1)</f>
        <v>109</v>
      </c>
      <c r="B110" t="s">
        <v>242</v>
      </c>
      <c r="C110" t="s">
        <v>355</v>
      </c>
      <c r="D110" t="s">
        <v>181</v>
      </c>
      <c r="E110" s="37" t="s">
        <v>393</v>
      </c>
      <c r="F110" s="50">
        <v>47</v>
      </c>
      <c r="G110" s="43">
        <f>SUMIFS(TRANSACTION!D:D,TRANSACTION!C:C,Table1[[#This Row],[DESCRIPTION2]])</f>
        <v>14</v>
      </c>
      <c r="H110">
        <f>SUMIFS(TRANSACTION!$E:$E,TRANSACTION!$C:$C,Table1[[#This Row],[DESCRIPTION2]])</f>
        <v>56</v>
      </c>
      <c r="I110" s="42">
        <f>Table1[[#This Row],[OPENING]]+Table1[[#This Row],[RECEIPT]]-Table1[[#This Row],[ISSUANCE]]</f>
        <v>5</v>
      </c>
      <c r="K110" t="s">
        <v>665</v>
      </c>
    </row>
    <row r="111" spans="1:11" x14ac:dyDescent="0.25">
      <c r="A111" s="35">
        <f>IF(Table1[[#This Row],[DESCRIPTION2]]="","",A110+1)</f>
        <v>110</v>
      </c>
      <c r="B111" t="s">
        <v>246</v>
      </c>
      <c r="C111" t="s">
        <v>307</v>
      </c>
      <c r="D111" t="s">
        <v>181</v>
      </c>
      <c r="E111" s="37" t="s">
        <v>393</v>
      </c>
      <c r="F111" s="50">
        <v>13</v>
      </c>
      <c r="G111" s="43">
        <f>SUMIFS(TRANSACTION!D:D,TRANSACTION!C:C,Table1[[#This Row],[DESCRIPTION2]])</f>
        <v>0</v>
      </c>
      <c r="H111">
        <f>SUMIFS(TRANSACTION!$E:$E,TRANSACTION!$C:$C,Table1[[#This Row],[DESCRIPTION2]])</f>
        <v>13</v>
      </c>
      <c r="I111" s="42">
        <f>Table1[[#This Row],[OPENING]]+Table1[[#This Row],[RECEIPT]]-Table1[[#This Row],[ISSUANCE]]</f>
        <v>0</v>
      </c>
    </row>
    <row r="112" spans="1:11" x14ac:dyDescent="0.25">
      <c r="A112" s="35">
        <f>IF(Table1[[#This Row],[DESCRIPTION2]]="","",A111+1)</f>
        <v>111</v>
      </c>
      <c r="B112" t="s">
        <v>247</v>
      </c>
      <c r="C112" t="s">
        <v>357</v>
      </c>
      <c r="D112" t="s">
        <v>181</v>
      </c>
      <c r="E112" s="37" t="s">
        <v>393</v>
      </c>
      <c r="F112" s="50">
        <v>5</v>
      </c>
      <c r="G112" s="43">
        <f>SUMIFS(TRANSACTION!D:D,TRANSACTION!C:C,Table1[[#This Row],[DESCRIPTION2]])</f>
        <v>0</v>
      </c>
      <c r="H112">
        <f>SUMIFS(TRANSACTION!$E:$E,TRANSACTION!$C:$C,Table1[[#This Row],[DESCRIPTION2]])</f>
        <v>5</v>
      </c>
      <c r="I112" s="42">
        <f>Table1[[#This Row],[OPENING]]+Table1[[#This Row],[RECEIPT]]-Table1[[#This Row],[ISSUANCE]]</f>
        <v>0</v>
      </c>
    </row>
    <row r="113" spans="1:11" x14ac:dyDescent="0.25">
      <c r="A113" s="35">
        <f>IF(Table1[[#This Row],[DESCRIPTION2]]="","",A112+1)</f>
        <v>112</v>
      </c>
      <c r="B113" t="s">
        <v>249</v>
      </c>
      <c r="C113" t="s">
        <v>249</v>
      </c>
      <c r="D113" t="s">
        <v>181</v>
      </c>
      <c r="E113" s="37" t="s">
        <v>393</v>
      </c>
      <c r="F113" s="50">
        <v>2</v>
      </c>
      <c r="G113" s="43">
        <f>SUMIFS(TRANSACTION!D:D,TRANSACTION!C:C,Table1[[#This Row],[DESCRIPTION2]])</f>
        <v>2</v>
      </c>
      <c r="H113">
        <f>SUMIFS(TRANSACTION!$E:$E,TRANSACTION!$C:$C,Table1[[#This Row],[DESCRIPTION2]])</f>
        <v>2</v>
      </c>
      <c r="I113" s="42">
        <f>Table1[[#This Row],[OPENING]]+Table1[[#This Row],[RECEIPT]]-Table1[[#This Row],[ISSUANCE]]</f>
        <v>2</v>
      </c>
    </row>
    <row r="114" spans="1:11" x14ac:dyDescent="0.25">
      <c r="A114" s="35">
        <f>IF(Table1[[#This Row],[DESCRIPTION2]]="","",A113+1)</f>
        <v>113</v>
      </c>
      <c r="B114" t="s">
        <v>253</v>
      </c>
      <c r="C114" t="s">
        <v>347</v>
      </c>
      <c r="D114" t="s">
        <v>181</v>
      </c>
      <c r="E114" s="37" t="s">
        <v>393</v>
      </c>
      <c r="F114" s="50">
        <v>4</v>
      </c>
      <c r="G114" s="43">
        <f>SUMIFS(TRANSACTION!D:D,TRANSACTION!C:C,Table1[[#This Row],[DESCRIPTION2]])</f>
        <v>66</v>
      </c>
      <c r="H114">
        <f>SUMIFS(TRANSACTION!$E:$E,TRANSACTION!$C:$C,Table1[[#This Row],[DESCRIPTION2]])</f>
        <v>17</v>
      </c>
      <c r="I114" s="42">
        <f>Table1[[#This Row],[OPENING]]+Table1[[#This Row],[RECEIPT]]-Table1[[#This Row],[ISSUANCE]]</f>
        <v>53</v>
      </c>
    </row>
    <row r="115" spans="1:11" x14ac:dyDescent="0.25">
      <c r="A115" s="35">
        <f>IF(Table1[[#This Row],[DESCRIPTION2]]="","",A114+1)</f>
        <v>114</v>
      </c>
      <c r="B115" t="s">
        <v>635</v>
      </c>
      <c r="C115" t="s">
        <v>356</v>
      </c>
      <c r="D115" t="s">
        <v>181</v>
      </c>
      <c r="E115" s="37" t="s">
        <v>393</v>
      </c>
      <c r="F115" s="50">
        <v>17</v>
      </c>
      <c r="G115" s="43">
        <f>SUMIFS(TRANSACTION!D:D,TRANSACTION!C:C,Table1[[#This Row],[DESCRIPTION2]])</f>
        <v>1</v>
      </c>
      <c r="H115">
        <f>SUMIFS(TRANSACTION!$E:$E,TRANSACTION!$C:$C,Table1[[#This Row],[DESCRIPTION2]])</f>
        <v>18</v>
      </c>
      <c r="I115" s="42">
        <f>Table1[[#This Row],[OPENING]]+Table1[[#This Row],[RECEIPT]]-Table1[[#This Row],[ISSUANCE]]</f>
        <v>0</v>
      </c>
    </row>
    <row r="116" spans="1:11" x14ac:dyDescent="0.25">
      <c r="A116" s="35">
        <f>IF(Table1[[#This Row],[DESCRIPTION2]]="","",A115+1)</f>
        <v>115</v>
      </c>
      <c r="B116" t="s">
        <v>255</v>
      </c>
      <c r="C116" t="s">
        <v>357</v>
      </c>
      <c r="D116" t="s">
        <v>181</v>
      </c>
      <c r="E116" s="37" t="s">
        <v>393</v>
      </c>
      <c r="F116" s="50">
        <v>28</v>
      </c>
      <c r="G116" s="43">
        <f>SUMIFS(TRANSACTION!D:D,TRANSACTION!C:C,Table1[[#This Row],[DESCRIPTION2]])</f>
        <v>0</v>
      </c>
      <c r="H116">
        <f>SUMIFS(TRANSACTION!$E:$E,TRANSACTION!$C:$C,Table1[[#This Row],[DESCRIPTION2]])</f>
        <v>28</v>
      </c>
      <c r="I116" s="42">
        <f>Table1[[#This Row],[OPENING]]+Table1[[#This Row],[RECEIPT]]-Table1[[#This Row],[ISSUANCE]]</f>
        <v>0</v>
      </c>
    </row>
    <row r="117" spans="1:11" x14ac:dyDescent="0.25">
      <c r="A117" s="35">
        <f>IF(Table1[[#This Row],[DESCRIPTION2]]="","",A116+1)</f>
        <v>116</v>
      </c>
      <c r="B117" t="s">
        <v>257</v>
      </c>
      <c r="C117" t="s">
        <v>358</v>
      </c>
      <c r="D117" t="s">
        <v>181</v>
      </c>
      <c r="E117" s="37" t="s">
        <v>393</v>
      </c>
      <c r="F117" s="50">
        <v>2</v>
      </c>
      <c r="G117" s="43">
        <f>SUMIFS(TRANSACTION!D:D,TRANSACTION!C:C,Table1[[#This Row],[DESCRIPTION2]])</f>
        <v>0</v>
      </c>
      <c r="H117">
        <f>SUMIFS(TRANSACTION!$E:$E,TRANSACTION!$C:$C,Table1[[#This Row],[DESCRIPTION2]])</f>
        <v>2</v>
      </c>
      <c r="I117" s="42">
        <f>Table1[[#This Row],[OPENING]]+Table1[[#This Row],[RECEIPT]]-Table1[[#This Row],[ISSUANCE]]</f>
        <v>0</v>
      </c>
    </row>
    <row r="118" spans="1:11" x14ac:dyDescent="0.25">
      <c r="A118" s="35">
        <f>IF(Table1[[#This Row],[DESCRIPTION2]]="","",A117+1)</f>
        <v>117</v>
      </c>
      <c r="B118" t="s">
        <v>263</v>
      </c>
      <c r="C118" t="s">
        <v>359</v>
      </c>
      <c r="D118" t="s">
        <v>181</v>
      </c>
      <c r="E118" s="37" t="s">
        <v>393</v>
      </c>
      <c r="F118" s="50">
        <v>7</v>
      </c>
      <c r="G118" s="43">
        <f>SUMIFS(TRANSACTION!D:D,TRANSACTION!C:C,Table1[[#This Row],[DESCRIPTION2]])</f>
        <v>0</v>
      </c>
      <c r="H118">
        <f>SUMIFS(TRANSACTION!$E:$E,TRANSACTION!$C:$C,Table1[[#This Row],[DESCRIPTION2]])</f>
        <v>7</v>
      </c>
      <c r="I118" s="42">
        <f>Table1[[#This Row],[OPENING]]+Table1[[#This Row],[RECEIPT]]-Table1[[#This Row],[ISSUANCE]]</f>
        <v>0</v>
      </c>
    </row>
    <row r="119" spans="1:11" x14ac:dyDescent="0.25">
      <c r="A119" s="35">
        <f>IF(Table1[[#This Row],[DESCRIPTION2]]="","",A118+1)</f>
        <v>118</v>
      </c>
      <c r="B119" t="s">
        <v>264</v>
      </c>
      <c r="C119" t="s">
        <v>359</v>
      </c>
      <c r="D119" t="s">
        <v>181</v>
      </c>
      <c r="E119" s="37" t="s">
        <v>393</v>
      </c>
      <c r="F119" s="50">
        <v>30</v>
      </c>
      <c r="G119" s="43">
        <f>SUMIFS(TRANSACTION!D:D,TRANSACTION!C:C,Table1[[#This Row],[DESCRIPTION2]])</f>
        <v>0</v>
      </c>
      <c r="H119">
        <f>SUMIFS(TRANSACTION!$E:$E,TRANSACTION!$C:$C,Table1[[#This Row],[DESCRIPTION2]])</f>
        <v>16</v>
      </c>
      <c r="I119" s="42">
        <f>Table1[[#This Row],[OPENING]]+Table1[[#This Row],[RECEIPT]]-Table1[[#This Row],[ISSUANCE]]</f>
        <v>14</v>
      </c>
      <c r="K119" t="s">
        <v>672</v>
      </c>
    </row>
    <row r="120" spans="1:11" x14ac:dyDescent="0.25">
      <c r="A120" s="35">
        <f>IF(Table1[[#This Row],[DESCRIPTION2]]="","",A119+1)</f>
        <v>119</v>
      </c>
      <c r="B120" t="s">
        <v>265</v>
      </c>
      <c r="C120" t="s">
        <v>359</v>
      </c>
      <c r="D120" t="s">
        <v>181</v>
      </c>
      <c r="E120" s="37" t="s">
        <v>393</v>
      </c>
      <c r="F120" s="50">
        <v>18</v>
      </c>
      <c r="G120" s="43">
        <f>SUMIFS(TRANSACTION!D:D,TRANSACTION!C:C,Table1[[#This Row],[DESCRIPTION2]])</f>
        <v>0</v>
      </c>
      <c r="H120">
        <f>SUMIFS(TRANSACTION!$E:$E,TRANSACTION!$C:$C,Table1[[#This Row],[DESCRIPTION2]])</f>
        <v>0</v>
      </c>
      <c r="I120" s="42">
        <f>Table1[[#This Row],[OPENING]]+Table1[[#This Row],[RECEIPT]]-Table1[[#This Row],[ISSUANCE]]</f>
        <v>18</v>
      </c>
      <c r="K120" t="s">
        <v>671</v>
      </c>
    </row>
    <row r="121" spans="1:11" x14ac:dyDescent="0.25">
      <c r="A121" s="35">
        <f>IF(Table1[[#This Row],[DESCRIPTION2]]="","",A120+1)</f>
        <v>120</v>
      </c>
      <c r="B121" t="s">
        <v>266</v>
      </c>
      <c r="C121" t="s">
        <v>359</v>
      </c>
      <c r="D121" t="s">
        <v>181</v>
      </c>
      <c r="E121" s="37" t="s">
        <v>393</v>
      </c>
      <c r="F121" s="50">
        <v>10</v>
      </c>
      <c r="G121" s="43">
        <f>SUMIFS(TRANSACTION!D:D,TRANSACTION!C:C,Table1[[#This Row],[DESCRIPTION2]])</f>
        <v>0</v>
      </c>
      <c r="H121">
        <f>SUMIFS(TRANSACTION!$E:$E,TRANSACTION!$C:$C,Table1[[#This Row],[DESCRIPTION2]])</f>
        <v>10</v>
      </c>
      <c r="I121" s="42">
        <f>Table1[[#This Row],[OPENING]]+Table1[[#This Row],[RECEIPT]]-Table1[[#This Row],[ISSUANCE]]</f>
        <v>0</v>
      </c>
    </row>
    <row r="122" spans="1:11" x14ac:dyDescent="0.25">
      <c r="A122" s="35">
        <f>IF(Table1[[#This Row],[DESCRIPTION2]]="","",A121+1)</f>
        <v>121</v>
      </c>
      <c r="B122" t="s">
        <v>267</v>
      </c>
      <c r="C122" t="s">
        <v>359</v>
      </c>
      <c r="D122" t="s">
        <v>181</v>
      </c>
      <c r="E122" s="37" t="s">
        <v>393</v>
      </c>
      <c r="F122" s="50">
        <v>9</v>
      </c>
      <c r="G122" s="43">
        <f>SUMIFS(TRANSACTION!D:D,TRANSACTION!C:C,Table1[[#This Row],[DESCRIPTION2]])</f>
        <v>0</v>
      </c>
      <c r="H122">
        <f>SUMIFS(TRANSACTION!$E:$E,TRANSACTION!$C:$C,Table1[[#This Row],[DESCRIPTION2]])</f>
        <v>0</v>
      </c>
      <c r="I122" s="42">
        <f>Table1[[#This Row],[OPENING]]+Table1[[#This Row],[RECEIPT]]-Table1[[#This Row],[ISSUANCE]]</f>
        <v>9</v>
      </c>
      <c r="K122" t="s">
        <v>666</v>
      </c>
    </row>
    <row r="123" spans="1:11" x14ac:dyDescent="0.25">
      <c r="A123" s="35">
        <f>IF(Table1[[#This Row],[DESCRIPTION2]]="","",A122+1)</f>
        <v>122</v>
      </c>
      <c r="B123" t="s">
        <v>277</v>
      </c>
      <c r="C123" t="s">
        <v>308</v>
      </c>
      <c r="D123" t="s">
        <v>181</v>
      </c>
      <c r="E123" s="37" t="s">
        <v>393</v>
      </c>
      <c r="F123" s="50">
        <v>18</v>
      </c>
      <c r="G123" s="43">
        <f>SUMIFS(TRANSACTION!D:D,TRANSACTION!C:C,Table1[[#This Row],[DESCRIPTION2]])</f>
        <v>0</v>
      </c>
      <c r="H123">
        <f>SUMIFS(TRANSACTION!$E:$E,TRANSACTION!$C:$C,Table1[[#This Row],[DESCRIPTION2]])</f>
        <v>18</v>
      </c>
      <c r="I123" s="42">
        <f>Table1[[#This Row],[OPENING]]+Table1[[#This Row],[RECEIPT]]-Table1[[#This Row],[ISSUANCE]]</f>
        <v>0</v>
      </c>
    </row>
    <row r="124" spans="1:11" x14ac:dyDescent="0.25">
      <c r="A124" s="35">
        <f>IF(Table1[[#This Row],[DESCRIPTION2]]="","",A123+1)</f>
        <v>123</v>
      </c>
      <c r="B124" t="s">
        <v>374</v>
      </c>
      <c r="C124" t="s">
        <v>375</v>
      </c>
      <c r="D124" t="s">
        <v>181</v>
      </c>
      <c r="E124" s="37" t="s">
        <v>393</v>
      </c>
      <c r="F124" s="50">
        <v>0</v>
      </c>
      <c r="G124" s="43">
        <f>SUMIFS(TRANSACTION!D:D,TRANSACTION!C:C,Table1[[#This Row],[DESCRIPTION2]])</f>
        <v>20</v>
      </c>
      <c r="H124">
        <f>SUMIFS(TRANSACTION!$E:$E,TRANSACTION!$C:$C,Table1[[#This Row],[DESCRIPTION2]])</f>
        <v>20</v>
      </c>
      <c r="I124" s="42">
        <f>Table1[[#This Row],[OPENING]]+Table1[[#This Row],[RECEIPT]]-Table1[[#This Row],[ISSUANCE]]</f>
        <v>0</v>
      </c>
    </row>
    <row r="125" spans="1:11" x14ac:dyDescent="0.25">
      <c r="A125" s="35">
        <f>IF(Table1[[#This Row],[DESCRIPTION2]]="","",A124+1)</f>
        <v>124</v>
      </c>
      <c r="B125" t="s">
        <v>595</v>
      </c>
      <c r="C125" t="s">
        <v>377</v>
      </c>
      <c r="D125" t="s">
        <v>181</v>
      </c>
      <c r="E125" s="37" t="s">
        <v>393</v>
      </c>
      <c r="F125" s="50">
        <v>2</v>
      </c>
      <c r="G125" s="43">
        <f>SUMIFS(TRANSACTION!D:D,TRANSACTION!C:C,Table1[[#This Row],[DESCRIPTION2]])</f>
        <v>20</v>
      </c>
      <c r="H125">
        <f>SUMIFS(TRANSACTION!$E:$E,TRANSACTION!$C:$C,Table1[[#This Row],[DESCRIPTION2]])</f>
        <v>7</v>
      </c>
      <c r="I125" s="42">
        <f>Table1[[#This Row],[OPENING]]+Table1[[#This Row],[RECEIPT]]-Table1[[#This Row],[ISSUANCE]]</f>
        <v>15</v>
      </c>
    </row>
    <row r="126" spans="1:11" x14ac:dyDescent="0.25">
      <c r="A126" s="35">
        <f>IF(Table1[[#This Row],[DESCRIPTION2]]="","",A125+1)</f>
        <v>125</v>
      </c>
      <c r="B126" t="s">
        <v>378</v>
      </c>
      <c r="C126" t="s">
        <v>379</v>
      </c>
      <c r="D126" t="s">
        <v>181</v>
      </c>
      <c r="E126" s="37" t="s">
        <v>393</v>
      </c>
      <c r="F126" s="50">
        <v>0</v>
      </c>
      <c r="G126" s="43">
        <f>SUMIFS(TRANSACTION!D:D,TRANSACTION!C:C,Table1[[#This Row],[DESCRIPTION2]])</f>
        <v>77</v>
      </c>
      <c r="H126">
        <f>SUMIFS(TRANSACTION!$E:$E,TRANSACTION!$C:$C,Table1[[#This Row],[DESCRIPTION2]])</f>
        <v>53</v>
      </c>
      <c r="I126" s="42">
        <f>Table1[[#This Row],[OPENING]]+Table1[[#This Row],[RECEIPT]]-Table1[[#This Row],[ISSUANCE]]</f>
        <v>24</v>
      </c>
    </row>
    <row r="127" spans="1:11" x14ac:dyDescent="0.25">
      <c r="A127" s="35">
        <f>IF(Table1[[#This Row],[DESCRIPTION2]]="","",A126+1)</f>
        <v>126</v>
      </c>
      <c r="B127" t="s">
        <v>380</v>
      </c>
      <c r="C127" t="s">
        <v>348</v>
      </c>
      <c r="D127" t="s">
        <v>181</v>
      </c>
      <c r="E127" s="37" t="s">
        <v>393</v>
      </c>
      <c r="F127" s="50">
        <v>6</v>
      </c>
      <c r="G127" s="43">
        <f>SUMIFS(TRANSACTION!D:D,TRANSACTION!C:C,Table1[[#This Row],[DESCRIPTION2]])</f>
        <v>0</v>
      </c>
      <c r="H127">
        <f>SUMIFS(TRANSACTION!$E:$E,TRANSACTION!$C:$C,Table1[[#This Row],[DESCRIPTION2]])</f>
        <v>6</v>
      </c>
      <c r="I127" s="42">
        <f>Table1[[#This Row],[OPENING]]+Table1[[#This Row],[RECEIPT]]-Table1[[#This Row],[ISSUANCE]]</f>
        <v>0</v>
      </c>
    </row>
    <row r="128" spans="1:11" x14ac:dyDescent="0.25">
      <c r="A128" s="35">
        <f>IF(Table1[[#This Row],[DESCRIPTION2]]="","",A127+1)</f>
        <v>127</v>
      </c>
      <c r="B128" t="s">
        <v>381</v>
      </c>
      <c r="C128" t="s">
        <v>350</v>
      </c>
      <c r="D128" t="s">
        <v>181</v>
      </c>
      <c r="E128" s="37" t="s">
        <v>393</v>
      </c>
      <c r="F128" s="50">
        <v>1</v>
      </c>
      <c r="G128" s="43">
        <f>SUMIFS(TRANSACTION!D:D,TRANSACTION!C:C,Table1[[#This Row],[DESCRIPTION2]])</f>
        <v>0</v>
      </c>
      <c r="H128">
        <f>SUMIFS(TRANSACTION!$E:$E,TRANSACTION!$C:$C,Table1[[#This Row],[DESCRIPTION2]])</f>
        <v>1</v>
      </c>
      <c r="I128" s="42">
        <f>Table1[[#This Row],[OPENING]]+Table1[[#This Row],[RECEIPT]]-Table1[[#This Row],[ISSUANCE]]</f>
        <v>0</v>
      </c>
    </row>
    <row r="129" spans="1:11" x14ac:dyDescent="0.25">
      <c r="A129" s="35">
        <f>IF(Table1[[#This Row],[DESCRIPTION2]]="","",A128+1)</f>
        <v>128</v>
      </c>
      <c r="B129" t="s">
        <v>278</v>
      </c>
      <c r="C129" t="s">
        <v>360</v>
      </c>
      <c r="D129" t="s">
        <v>181</v>
      </c>
      <c r="E129" s="37" t="s">
        <v>393</v>
      </c>
      <c r="F129" s="50">
        <v>13</v>
      </c>
      <c r="G129" s="43">
        <f>SUMIFS(TRANSACTION!D:D,TRANSACTION!C:C,Table1[[#This Row],[DESCRIPTION2]])</f>
        <v>0</v>
      </c>
      <c r="H129">
        <f>SUMIFS(TRANSACTION!$E:$E,TRANSACTION!$C:$C,Table1[[#This Row],[DESCRIPTION2]])</f>
        <v>13</v>
      </c>
      <c r="I129" s="42">
        <f>Table1[[#This Row],[OPENING]]+Table1[[#This Row],[RECEIPT]]-Table1[[#This Row],[ISSUANCE]]</f>
        <v>0</v>
      </c>
    </row>
    <row r="130" spans="1:11" x14ac:dyDescent="0.25">
      <c r="A130" s="35">
        <f>IF(Table1[[#This Row],[DESCRIPTION2]]="","",A129+1)</f>
        <v>129</v>
      </c>
      <c r="B130" t="s">
        <v>232</v>
      </c>
      <c r="C130" t="s">
        <v>361</v>
      </c>
      <c r="D130" t="s">
        <v>260</v>
      </c>
      <c r="E130" s="37" t="s">
        <v>393</v>
      </c>
      <c r="F130" s="50">
        <v>0</v>
      </c>
      <c r="G130" s="43">
        <f>SUMIFS(TRANSACTION!D:D,TRANSACTION!C:C,Table1[[#This Row],[DESCRIPTION2]])</f>
        <v>10</v>
      </c>
      <c r="H130">
        <f>SUMIFS(TRANSACTION!$E:$E,TRANSACTION!$C:$C,Table1[[#This Row],[DESCRIPTION2]])</f>
        <v>10</v>
      </c>
      <c r="I130" s="42">
        <f>Table1[[#This Row],[OPENING]]+Table1[[#This Row],[RECEIPT]]-Table1[[#This Row],[ISSUANCE]]</f>
        <v>0</v>
      </c>
    </row>
    <row r="131" spans="1:11" x14ac:dyDescent="0.25">
      <c r="A131" s="35">
        <f>IF(Table1[[#This Row],[DESCRIPTION2]]="","",A130+1)</f>
        <v>130</v>
      </c>
      <c r="B131" t="s">
        <v>245</v>
      </c>
      <c r="C131" t="s">
        <v>245</v>
      </c>
      <c r="D131" t="s">
        <v>260</v>
      </c>
      <c r="E131" s="37" t="s">
        <v>393</v>
      </c>
      <c r="F131" s="50">
        <v>26</v>
      </c>
      <c r="G131" s="43">
        <f>SUMIFS(TRANSACTION!D:D,TRANSACTION!C:C,Table1[[#This Row],[DESCRIPTION2]])</f>
        <v>0</v>
      </c>
      <c r="H131">
        <f>SUMIFS(TRANSACTION!$E:$E,TRANSACTION!$C:$C,Table1[[#This Row],[DESCRIPTION2]])</f>
        <v>26</v>
      </c>
      <c r="I131" s="42">
        <f>Table1[[#This Row],[OPENING]]+Table1[[#This Row],[RECEIPT]]-Table1[[#This Row],[ISSUANCE]]</f>
        <v>0</v>
      </c>
    </row>
    <row r="132" spans="1:11" x14ac:dyDescent="0.25">
      <c r="A132" s="35">
        <f>IF(Table1[[#This Row],[DESCRIPTION2]]="","",A131+1)</f>
        <v>131</v>
      </c>
      <c r="B132" t="s">
        <v>272</v>
      </c>
      <c r="C132" t="s">
        <v>363</v>
      </c>
      <c r="D132" t="s">
        <v>260</v>
      </c>
      <c r="E132" s="37" t="s">
        <v>393</v>
      </c>
      <c r="F132" s="50">
        <v>1</v>
      </c>
      <c r="G132" s="43">
        <f>SUMIFS(TRANSACTION!D:D,TRANSACTION!C:C,Table1[[#This Row],[DESCRIPTION2]])</f>
        <v>18</v>
      </c>
      <c r="H132">
        <f>SUMIFS(TRANSACTION!$E:$E,TRANSACTION!$C:$C,Table1[[#This Row],[DESCRIPTION2]])</f>
        <v>13</v>
      </c>
      <c r="I132" s="42">
        <f>Table1[[#This Row],[OPENING]]+Table1[[#This Row],[RECEIPT]]-Table1[[#This Row],[ISSUANCE]]</f>
        <v>6</v>
      </c>
    </row>
    <row r="133" spans="1:11" x14ac:dyDescent="0.25">
      <c r="A133" s="35">
        <f>IF(Table1[[#This Row],[DESCRIPTION2]]="","",A132+1)</f>
        <v>132</v>
      </c>
      <c r="B133" t="s">
        <v>250</v>
      </c>
      <c r="C133" t="s">
        <v>364</v>
      </c>
      <c r="D133" t="s">
        <v>260</v>
      </c>
      <c r="E133" s="37" t="s">
        <v>393</v>
      </c>
      <c r="F133" s="50">
        <v>9</v>
      </c>
      <c r="G133" s="43">
        <f>SUMIFS(TRANSACTION!D:D,TRANSACTION!C:C,Table1[[#This Row],[DESCRIPTION2]])</f>
        <v>360</v>
      </c>
      <c r="H133">
        <f>SUMIFS(TRANSACTION!$E:$E,TRANSACTION!$C:$C,Table1[[#This Row],[DESCRIPTION2]])</f>
        <v>289</v>
      </c>
      <c r="I133" s="42">
        <f>Table1[[#This Row],[OPENING]]+Table1[[#This Row],[RECEIPT]]-Table1[[#This Row],[ISSUANCE]]</f>
        <v>80</v>
      </c>
    </row>
    <row r="134" spans="1:11" x14ac:dyDescent="0.25">
      <c r="A134" s="35">
        <f>IF(Table1[[#This Row],[DESCRIPTION2]]="","",A133+1)</f>
        <v>133</v>
      </c>
      <c r="B134" t="s">
        <v>251</v>
      </c>
      <c r="C134" t="s">
        <v>365</v>
      </c>
      <c r="D134" t="s">
        <v>260</v>
      </c>
      <c r="E134" s="37" t="s">
        <v>393</v>
      </c>
      <c r="F134" s="50">
        <v>28</v>
      </c>
      <c r="G134" s="43">
        <f>SUMIFS(TRANSACTION!D:D,TRANSACTION!C:C,Table1[[#This Row],[DESCRIPTION2]])</f>
        <v>490</v>
      </c>
      <c r="H134">
        <f>SUMIFS(TRANSACTION!$E:$E,TRANSACTION!$C:$C,Table1[[#This Row],[DESCRIPTION2]])</f>
        <v>383</v>
      </c>
      <c r="I134" s="42">
        <f>Table1[[#This Row],[OPENING]]+Table1[[#This Row],[RECEIPT]]-Table1[[#This Row],[ISSUANCE]]</f>
        <v>135</v>
      </c>
    </row>
    <row r="135" spans="1:11" x14ac:dyDescent="0.25">
      <c r="A135" s="35">
        <f>IF(Table1[[#This Row],[DESCRIPTION2]]="","",A134+1)</f>
        <v>134</v>
      </c>
      <c r="B135" t="s">
        <v>252</v>
      </c>
      <c r="C135" t="s">
        <v>366</v>
      </c>
      <c r="D135" t="s">
        <v>260</v>
      </c>
      <c r="E135" s="37" t="s">
        <v>393</v>
      </c>
      <c r="F135" s="50">
        <v>32</v>
      </c>
      <c r="G135" s="43">
        <f>SUMIFS(TRANSACTION!D:D,TRANSACTION!C:C,Table1[[#This Row],[DESCRIPTION2]])</f>
        <v>0</v>
      </c>
      <c r="H135">
        <f>SUMIFS(TRANSACTION!$E:$E,TRANSACTION!$C:$C,Table1[[#This Row],[DESCRIPTION2]])</f>
        <v>30</v>
      </c>
      <c r="I135" s="42">
        <f>Table1[[#This Row],[OPENING]]+Table1[[#This Row],[RECEIPT]]-Table1[[#This Row],[ISSUANCE]]</f>
        <v>2</v>
      </c>
      <c r="K135" t="s">
        <v>668</v>
      </c>
    </row>
    <row r="136" spans="1:11" x14ac:dyDescent="0.25">
      <c r="A136" s="35">
        <f>IF(Table1[[#This Row],[DESCRIPTION2]]="","",A135+1)</f>
        <v>135</v>
      </c>
      <c r="B136" s="37" t="s">
        <v>256</v>
      </c>
      <c r="C136" t="s">
        <v>367</v>
      </c>
      <c r="D136" t="s">
        <v>260</v>
      </c>
      <c r="E136" s="37" t="s">
        <v>393</v>
      </c>
      <c r="F136" s="50">
        <v>4</v>
      </c>
      <c r="G136" s="43">
        <f>SUMIFS(TRANSACTION!D:D,TRANSACTION!C:C,Table1[[#This Row],[DESCRIPTION2]])</f>
        <v>40</v>
      </c>
      <c r="H136">
        <f>SUMIFS(TRANSACTION!$E:$E,TRANSACTION!$C:$C,Table1[[#This Row],[DESCRIPTION2]])</f>
        <v>16</v>
      </c>
      <c r="I136" s="42">
        <f>Table1[[#This Row],[OPENING]]+Table1[[#This Row],[RECEIPT]]-Table1[[#This Row],[ISSUANCE]]</f>
        <v>28</v>
      </c>
    </row>
    <row r="137" spans="1:11" x14ac:dyDescent="0.25">
      <c r="A137" s="35">
        <f>IF(Table1[[#This Row],[DESCRIPTION2]]="","",A136+1)</f>
        <v>136</v>
      </c>
      <c r="B137" t="s">
        <v>243</v>
      </c>
      <c r="C137" t="s">
        <v>368</v>
      </c>
      <c r="D137" t="s">
        <v>260</v>
      </c>
      <c r="E137" s="37" t="s">
        <v>393</v>
      </c>
      <c r="F137" s="50">
        <v>38</v>
      </c>
      <c r="G137" s="43">
        <f>SUMIFS(TRANSACTION!D:D,TRANSACTION!C:C,Table1[[#This Row],[DESCRIPTION2]])</f>
        <v>0</v>
      </c>
      <c r="H137">
        <f>SUMIFS(TRANSACTION!$E:$E,TRANSACTION!$C:$C,Table1[[#This Row],[DESCRIPTION2]])</f>
        <v>38</v>
      </c>
      <c r="I137" s="42">
        <f>Table1[[#This Row],[OPENING]]+Table1[[#This Row],[RECEIPT]]-Table1[[#This Row],[ISSUANCE]]</f>
        <v>0</v>
      </c>
    </row>
    <row r="138" spans="1:11" x14ac:dyDescent="0.25">
      <c r="A138" s="35">
        <f>IF(Table1[[#This Row],[DESCRIPTION2]]="","",A137+1)</f>
        <v>137</v>
      </c>
      <c r="B138" t="s">
        <v>258</v>
      </c>
      <c r="C138" t="s">
        <v>299</v>
      </c>
      <c r="D138" t="s">
        <v>260</v>
      </c>
      <c r="E138" s="37" t="s">
        <v>393</v>
      </c>
      <c r="F138" s="50">
        <v>6</v>
      </c>
      <c r="G138" s="43">
        <f>SUMIFS(TRANSACTION!D:D,TRANSACTION!C:C,Table1[[#This Row],[DESCRIPTION2]])</f>
        <v>77</v>
      </c>
      <c r="H138">
        <f>SUMIFS(TRANSACTION!$E:$E,TRANSACTION!$C:$C,Table1[[#This Row],[DESCRIPTION2]])</f>
        <v>83</v>
      </c>
      <c r="I138" s="42">
        <f>Table1[[#This Row],[OPENING]]+Table1[[#This Row],[RECEIPT]]-Table1[[#This Row],[ISSUANCE]]</f>
        <v>0</v>
      </c>
    </row>
    <row r="139" spans="1:11" x14ac:dyDescent="0.25">
      <c r="A139" s="35">
        <f>IF(Table1[[#This Row],[DESCRIPTION2]]="","",A138+1)</f>
        <v>138</v>
      </c>
      <c r="B139" t="s">
        <v>259</v>
      </c>
      <c r="C139" t="s">
        <v>300</v>
      </c>
      <c r="D139" t="s">
        <v>260</v>
      </c>
      <c r="E139" s="37" t="s">
        <v>393</v>
      </c>
      <c r="F139" s="50">
        <v>1</v>
      </c>
      <c r="G139" s="43">
        <f>SUMIFS(TRANSACTION!D:D,TRANSACTION!C:C,Table1[[#This Row],[DESCRIPTION2]])</f>
        <v>0</v>
      </c>
      <c r="H139">
        <f>SUMIFS(TRANSACTION!$E:$E,TRANSACTION!$C:$C,Table1[[#This Row],[DESCRIPTION2]])</f>
        <v>1</v>
      </c>
      <c r="I139" s="42">
        <f>Table1[[#This Row],[OPENING]]+Table1[[#This Row],[RECEIPT]]-Table1[[#This Row],[ISSUANCE]]</f>
        <v>0</v>
      </c>
    </row>
    <row r="140" spans="1:11" x14ac:dyDescent="0.25">
      <c r="A140" s="35">
        <f>IF(Table1[[#This Row],[DESCRIPTION2]]="","",A139+1)</f>
        <v>139</v>
      </c>
      <c r="B140" t="s">
        <v>202</v>
      </c>
      <c r="C140" t="s">
        <v>300</v>
      </c>
      <c r="D140" t="s">
        <v>260</v>
      </c>
      <c r="E140" s="37" t="s">
        <v>393</v>
      </c>
      <c r="F140" s="50">
        <v>16</v>
      </c>
      <c r="G140" s="43">
        <f>SUMIFS(TRANSACTION!D:D,TRANSACTION!C:C,Table1[[#This Row],[DESCRIPTION2]])</f>
        <v>0</v>
      </c>
      <c r="H140">
        <f>SUMIFS(TRANSACTION!$E:$E,TRANSACTION!$C:$C,Table1[[#This Row],[DESCRIPTION2]])</f>
        <v>16</v>
      </c>
      <c r="I140" s="42">
        <f>Table1[[#This Row],[OPENING]]+Table1[[#This Row],[RECEIPT]]-Table1[[#This Row],[ISSUANCE]]</f>
        <v>0</v>
      </c>
    </row>
    <row r="141" spans="1:11" x14ac:dyDescent="0.25">
      <c r="A141" s="35">
        <f>IF(Table1[[#This Row],[DESCRIPTION2]]="","",A140+1)</f>
        <v>140</v>
      </c>
      <c r="B141" t="s">
        <v>203</v>
      </c>
      <c r="C141" t="s">
        <v>300</v>
      </c>
      <c r="D141" t="s">
        <v>260</v>
      </c>
      <c r="E141" s="37" t="s">
        <v>393</v>
      </c>
      <c r="F141" s="50">
        <v>8</v>
      </c>
      <c r="G141" s="43">
        <f>SUMIFS(TRANSACTION!D:D,TRANSACTION!C:C,Table1[[#This Row],[DESCRIPTION2]])</f>
        <v>0</v>
      </c>
      <c r="H141">
        <f>SUMIFS(TRANSACTION!$E:$E,TRANSACTION!$C:$C,Table1[[#This Row],[DESCRIPTION2]])</f>
        <v>8</v>
      </c>
      <c r="I141" s="42">
        <f>Table1[[#This Row],[OPENING]]+Table1[[#This Row],[RECEIPT]]-Table1[[#This Row],[ISSUANCE]]</f>
        <v>0</v>
      </c>
    </row>
    <row r="142" spans="1:11" x14ac:dyDescent="0.25">
      <c r="A142" s="35">
        <f>IF(Table1[[#This Row],[DESCRIPTION2]]="","",A141+1)</f>
        <v>141</v>
      </c>
      <c r="B142" t="s">
        <v>208</v>
      </c>
      <c r="C142" t="s">
        <v>300</v>
      </c>
      <c r="D142" t="s">
        <v>260</v>
      </c>
      <c r="E142" s="37" t="s">
        <v>393</v>
      </c>
      <c r="F142" s="50">
        <v>4</v>
      </c>
      <c r="G142" s="43">
        <f>SUMIFS(TRANSACTION!D:D,TRANSACTION!C:C,Table1[[#This Row],[DESCRIPTION2]])</f>
        <v>0</v>
      </c>
      <c r="H142">
        <f>SUMIFS(TRANSACTION!$E:$E,TRANSACTION!$C:$C,Table1[[#This Row],[DESCRIPTION2]])</f>
        <v>4</v>
      </c>
      <c r="I142" s="42">
        <f>Table1[[#This Row],[OPENING]]+Table1[[#This Row],[RECEIPT]]-Table1[[#This Row],[ISSUANCE]]</f>
        <v>0</v>
      </c>
    </row>
    <row r="143" spans="1:11" x14ac:dyDescent="0.25">
      <c r="A143" s="35">
        <f>IF(Table1[[#This Row],[DESCRIPTION2]]="","",A142+1)</f>
        <v>142</v>
      </c>
      <c r="B143" t="s">
        <v>271</v>
      </c>
      <c r="C143" t="s">
        <v>300</v>
      </c>
      <c r="D143" t="s">
        <v>260</v>
      </c>
      <c r="E143" s="37" t="s">
        <v>393</v>
      </c>
      <c r="F143" s="50">
        <v>9</v>
      </c>
      <c r="G143" s="43">
        <f>SUMIFS(TRANSACTION!D:D,TRANSACTION!C:C,Table1[[#This Row],[DESCRIPTION2]])</f>
        <v>0</v>
      </c>
      <c r="H143">
        <f>SUMIFS(TRANSACTION!$E:$E,TRANSACTION!$C:$C,Table1[[#This Row],[DESCRIPTION2]])</f>
        <v>9</v>
      </c>
      <c r="I143" s="42">
        <f>Table1[[#This Row],[OPENING]]+Table1[[#This Row],[RECEIPT]]-Table1[[#This Row],[ISSUANCE]]</f>
        <v>0</v>
      </c>
    </row>
    <row r="144" spans="1:11" x14ac:dyDescent="0.25">
      <c r="A144" s="35">
        <f>IF(Table1[[#This Row],[DESCRIPTION2]]="","",A143+1)</f>
        <v>143</v>
      </c>
      <c r="B144" t="s">
        <v>269</v>
      </c>
      <c r="C144" t="s">
        <v>369</v>
      </c>
      <c r="D144" t="s">
        <v>260</v>
      </c>
      <c r="E144" s="37" t="s">
        <v>393</v>
      </c>
      <c r="F144" s="50">
        <v>12</v>
      </c>
      <c r="G144" s="43">
        <f>SUMIFS(TRANSACTION!D:D,TRANSACTION!C:C,Table1[[#This Row],[DESCRIPTION2]])</f>
        <v>0</v>
      </c>
      <c r="H144">
        <f>SUMIFS(TRANSACTION!$E:$E,TRANSACTION!$C:$C,Table1[[#This Row],[DESCRIPTION2]])</f>
        <v>12</v>
      </c>
      <c r="I144" s="42">
        <f>Table1[[#This Row],[OPENING]]+Table1[[#This Row],[RECEIPT]]-Table1[[#This Row],[ISSUANCE]]</f>
        <v>0</v>
      </c>
    </row>
    <row r="145" spans="1:11" x14ac:dyDescent="0.25">
      <c r="A145" s="35">
        <f>IF(Table1[[#This Row],[DESCRIPTION2]]="","",A144+1)</f>
        <v>144</v>
      </c>
      <c r="B145" t="s">
        <v>270</v>
      </c>
      <c r="C145" t="s">
        <v>369</v>
      </c>
      <c r="D145" t="s">
        <v>260</v>
      </c>
      <c r="E145" s="37" t="s">
        <v>393</v>
      </c>
      <c r="F145" s="50">
        <v>62</v>
      </c>
      <c r="G145" s="43">
        <f>SUMIFS(TRANSACTION!D:D,TRANSACTION!C:C,Table1[[#This Row],[DESCRIPTION2]])</f>
        <v>50</v>
      </c>
      <c r="H145">
        <f>SUMIFS(TRANSACTION!$E:$E,TRANSACTION!$C:$C,Table1[[#This Row],[DESCRIPTION2]])</f>
        <v>90</v>
      </c>
      <c r="I145" s="42">
        <f>Table1[[#This Row],[OPENING]]+Table1[[#This Row],[RECEIPT]]-Table1[[#This Row],[ISSUANCE]]</f>
        <v>22</v>
      </c>
    </row>
    <row r="146" spans="1:11" x14ac:dyDescent="0.25">
      <c r="A146" s="35">
        <f>IF(Table1[[#This Row],[DESCRIPTION2]]="","",A145+1)</f>
        <v>145</v>
      </c>
      <c r="B146" t="s">
        <v>268</v>
      </c>
      <c r="C146" t="s">
        <v>369</v>
      </c>
      <c r="D146" t="s">
        <v>260</v>
      </c>
      <c r="E146" s="37" t="s">
        <v>393</v>
      </c>
      <c r="F146" s="50">
        <v>12</v>
      </c>
      <c r="G146" s="43">
        <f>SUMIFS(TRANSACTION!D:D,TRANSACTION!C:C,Table1[[#This Row],[DESCRIPTION2]])</f>
        <v>0</v>
      </c>
      <c r="H146">
        <f>SUMIFS(TRANSACTION!$E:$E,TRANSACTION!$C:$C,Table1[[#This Row],[DESCRIPTION2]])</f>
        <v>12</v>
      </c>
      <c r="I146" s="42">
        <f>Table1[[#This Row],[OPENING]]+Table1[[#This Row],[RECEIPT]]-Table1[[#This Row],[ISSUANCE]]</f>
        <v>0</v>
      </c>
    </row>
    <row r="147" spans="1:11" x14ac:dyDescent="0.25">
      <c r="A147" s="35">
        <f>IF(Table1[[#This Row],[DESCRIPTION2]]="","",A146+1)</f>
        <v>146</v>
      </c>
      <c r="B147" t="s">
        <v>248</v>
      </c>
      <c r="C147" t="s">
        <v>370</v>
      </c>
      <c r="D147" t="s">
        <v>260</v>
      </c>
      <c r="E147" s="37" t="s">
        <v>393</v>
      </c>
      <c r="F147" s="50">
        <v>5</v>
      </c>
      <c r="G147" s="43">
        <f>SUMIFS(TRANSACTION!D:D,TRANSACTION!C:C,Table1[[#This Row],[DESCRIPTION2]])</f>
        <v>0</v>
      </c>
      <c r="H147">
        <f>SUMIFS(TRANSACTION!$E:$E,TRANSACTION!$C:$C,Table1[[#This Row],[DESCRIPTION2]])</f>
        <v>5</v>
      </c>
      <c r="I147" s="42">
        <f>Table1[[#This Row],[OPENING]]+Table1[[#This Row],[RECEIPT]]-Table1[[#This Row],[ISSUANCE]]</f>
        <v>0</v>
      </c>
    </row>
    <row r="148" spans="1:11" x14ac:dyDescent="0.25">
      <c r="A148" s="35">
        <f>IF(Table1[[#This Row],[DESCRIPTION2]]="","",A147+1)</f>
        <v>147</v>
      </c>
      <c r="B148" t="s">
        <v>510</v>
      </c>
      <c r="C148" t="s">
        <v>305</v>
      </c>
      <c r="D148" t="s">
        <v>260</v>
      </c>
      <c r="E148" s="37" t="s">
        <v>393</v>
      </c>
      <c r="F148" s="50">
        <v>12</v>
      </c>
      <c r="G148" s="43">
        <f>SUMIFS(TRANSACTION!D:D,TRANSACTION!C:C,Table1[[#This Row],[DESCRIPTION2]])</f>
        <v>0</v>
      </c>
      <c r="H148">
        <f>SUMIFS(TRANSACTION!$E:$E,TRANSACTION!$C:$C,Table1[[#This Row],[DESCRIPTION2]])</f>
        <v>12</v>
      </c>
      <c r="I148" s="42">
        <f>Table1[[#This Row],[OPENING]]+Table1[[#This Row],[RECEIPT]]-Table1[[#This Row],[ISSUANCE]]</f>
        <v>0</v>
      </c>
    </row>
    <row r="149" spans="1:11" x14ac:dyDescent="0.25">
      <c r="A149" s="35">
        <f>IF(Table1[[#This Row],[DESCRIPTION2]]="","",A148+1)</f>
        <v>148</v>
      </c>
      <c r="B149" t="s">
        <v>274</v>
      </c>
      <c r="C149" t="s">
        <v>305</v>
      </c>
      <c r="D149" t="s">
        <v>260</v>
      </c>
      <c r="E149" s="37" t="s">
        <v>393</v>
      </c>
      <c r="F149" s="50">
        <v>1</v>
      </c>
      <c r="G149" s="43">
        <f>SUMIFS(TRANSACTION!D:D,TRANSACTION!C:C,Table1[[#This Row],[DESCRIPTION2]])</f>
        <v>0</v>
      </c>
      <c r="H149">
        <f>SUMIFS(TRANSACTION!$E:$E,TRANSACTION!$C:$C,Table1[[#This Row],[DESCRIPTION2]])</f>
        <v>1</v>
      </c>
      <c r="I149" s="42">
        <f>Table1[[#This Row],[OPENING]]+Table1[[#This Row],[RECEIPT]]-Table1[[#This Row],[ISSUANCE]]</f>
        <v>0</v>
      </c>
    </row>
    <row r="150" spans="1:11" x14ac:dyDescent="0.25">
      <c r="A150" s="35">
        <f>IF(Table1[[#This Row],[DESCRIPTION2]]="","",A149+1)</f>
        <v>149</v>
      </c>
      <c r="B150" t="s">
        <v>275</v>
      </c>
      <c r="C150" t="s">
        <v>308</v>
      </c>
      <c r="D150" t="s">
        <v>260</v>
      </c>
      <c r="E150" s="37" t="s">
        <v>393</v>
      </c>
      <c r="F150" s="50">
        <v>14</v>
      </c>
      <c r="G150" s="43">
        <f>SUMIFS(TRANSACTION!D:D,TRANSACTION!C:C,Table1[[#This Row],[DESCRIPTION2]])</f>
        <v>0</v>
      </c>
      <c r="H150">
        <f>SUMIFS(TRANSACTION!$E:$E,TRANSACTION!$C:$C,Table1[[#This Row],[DESCRIPTION2]])</f>
        <v>14</v>
      </c>
      <c r="I150" s="42">
        <f>Table1[[#This Row],[OPENING]]+Table1[[#This Row],[RECEIPT]]-Table1[[#This Row],[ISSUANCE]]</f>
        <v>0</v>
      </c>
    </row>
    <row r="151" spans="1:11" x14ac:dyDescent="0.25">
      <c r="A151" s="35">
        <f>IF(Table1[[#This Row],[DESCRIPTION2]]="","",A150+1)</f>
        <v>150</v>
      </c>
      <c r="B151" t="s">
        <v>276</v>
      </c>
      <c r="C151" t="s">
        <v>308</v>
      </c>
      <c r="D151" t="s">
        <v>260</v>
      </c>
      <c r="E151" s="37" t="s">
        <v>393</v>
      </c>
      <c r="F151" s="50">
        <v>11</v>
      </c>
      <c r="G151" s="43">
        <f>SUMIFS(TRANSACTION!D:D,TRANSACTION!C:C,Table1[[#This Row],[DESCRIPTION2]])</f>
        <v>0</v>
      </c>
      <c r="H151">
        <f>SUMIFS(TRANSACTION!$E:$E,TRANSACTION!$C:$C,Table1[[#This Row],[DESCRIPTION2]])</f>
        <v>11</v>
      </c>
      <c r="I151" s="42">
        <f>Table1[[#This Row],[OPENING]]+Table1[[#This Row],[RECEIPT]]-Table1[[#This Row],[ISSUANCE]]</f>
        <v>0</v>
      </c>
    </row>
    <row r="152" spans="1:11" x14ac:dyDescent="0.25">
      <c r="A152" s="35">
        <f>IF(Table1[[#This Row],[DESCRIPTION2]]="","",A151+1)</f>
        <v>151</v>
      </c>
      <c r="B152" t="s">
        <v>372</v>
      </c>
      <c r="C152" t="s">
        <v>371</v>
      </c>
      <c r="D152" t="s">
        <v>260</v>
      </c>
      <c r="E152" s="37" t="s">
        <v>393</v>
      </c>
      <c r="F152" s="50">
        <v>2</v>
      </c>
      <c r="G152" s="43">
        <f>SUMIFS(TRANSACTION!D:D,TRANSACTION!C:C,Table1[[#This Row],[DESCRIPTION2]])</f>
        <v>0</v>
      </c>
      <c r="H152">
        <f>SUMIFS(TRANSACTION!$E:$E,TRANSACTION!$C:$C,Table1[[#This Row],[DESCRIPTION2]])</f>
        <v>2</v>
      </c>
      <c r="I152" s="42">
        <f>Table1[[#This Row],[OPENING]]+Table1[[#This Row],[RECEIPT]]-Table1[[#This Row],[ISSUANCE]]</f>
        <v>0</v>
      </c>
    </row>
    <row r="153" spans="1:11" x14ac:dyDescent="0.25">
      <c r="A153" s="35">
        <f>IF(Table1[[#This Row],[DESCRIPTION2]]="","",A152+1)</f>
        <v>152</v>
      </c>
      <c r="B153" t="s">
        <v>216</v>
      </c>
      <c r="C153" t="s">
        <v>244</v>
      </c>
      <c r="D153" t="s">
        <v>260</v>
      </c>
      <c r="E153" s="37" t="s">
        <v>393</v>
      </c>
      <c r="F153" s="50">
        <v>11</v>
      </c>
      <c r="G153" s="43">
        <f>SUMIFS(TRANSACTION!D:D,TRANSACTION!C:C,Table1[[#This Row],[DESCRIPTION2]])</f>
        <v>0</v>
      </c>
      <c r="H153">
        <f>SUMIFS(TRANSACTION!$E:$E,TRANSACTION!$C:$C,Table1[[#This Row],[DESCRIPTION2]])</f>
        <v>11</v>
      </c>
      <c r="I153" s="42">
        <f>Table1[[#This Row],[OPENING]]+Table1[[#This Row],[RECEIPT]]-Table1[[#This Row],[ISSUANCE]]</f>
        <v>0</v>
      </c>
    </row>
    <row r="154" spans="1:11" x14ac:dyDescent="0.25">
      <c r="A154" s="35">
        <f>IF(Table1[[#This Row],[DESCRIPTION2]]="","",A153+1)</f>
        <v>153</v>
      </c>
      <c r="B154" t="s">
        <v>244</v>
      </c>
      <c r="C154" t="s">
        <v>244</v>
      </c>
      <c r="D154" t="s">
        <v>260</v>
      </c>
      <c r="E154" s="37" t="s">
        <v>393</v>
      </c>
      <c r="F154" s="50">
        <v>4</v>
      </c>
      <c r="G154" s="43">
        <f>SUMIFS(TRANSACTION!D:D,TRANSACTION!C:C,Table1[[#This Row],[DESCRIPTION2]])</f>
        <v>0</v>
      </c>
      <c r="H154">
        <f>SUMIFS(TRANSACTION!$E:$E,TRANSACTION!$C:$C,Table1[[#This Row],[DESCRIPTION2]])</f>
        <v>4</v>
      </c>
      <c r="I154" s="42">
        <f>Table1[[#This Row],[OPENING]]+Table1[[#This Row],[RECEIPT]]-Table1[[#This Row],[ISSUANCE]]</f>
        <v>0</v>
      </c>
    </row>
    <row r="155" spans="1:11" x14ac:dyDescent="0.25">
      <c r="A155" s="35">
        <f>IF(Table1[[#This Row],[DESCRIPTION2]]="","",A154+1)</f>
        <v>154</v>
      </c>
      <c r="B155" t="s">
        <v>279</v>
      </c>
      <c r="C155" t="s">
        <v>341</v>
      </c>
      <c r="D155" t="s">
        <v>294</v>
      </c>
      <c r="E155" s="37" t="s">
        <v>393</v>
      </c>
      <c r="F155" s="50">
        <v>25</v>
      </c>
      <c r="G155" s="43">
        <f>SUMIFS(TRANSACTION!D:D,TRANSACTION!C:C,Table1[[#This Row],[DESCRIPTION2]])</f>
        <v>0</v>
      </c>
      <c r="H155">
        <f>SUMIFS(TRANSACTION!$E:$E,TRANSACTION!$C:$C,Table1[[#This Row],[DESCRIPTION2]])</f>
        <v>21</v>
      </c>
      <c r="I155" s="42">
        <f>Table1[[#This Row],[OPENING]]+Table1[[#This Row],[RECEIPT]]-Table1[[#This Row],[ISSUANCE]]</f>
        <v>4</v>
      </c>
      <c r="K155" t="s">
        <v>667</v>
      </c>
    </row>
    <row r="156" spans="1:11" x14ac:dyDescent="0.25">
      <c r="A156" s="35">
        <f>IF(Table1[[#This Row],[DESCRIPTION2]]="","",A155+1)</f>
        <v>155</v>
      </c>
      <c r="B156" t="s">
        <v>280</v>
      </c>
      <c r="C156" t="s">
        <v>382</v>
      </c>
      <c r="D156" t="s">
        <v>294</v>
      </c>
      <c r="E156" s="37" t="s">
        <v>393</v>
      </c>
      <c r="F156" s="50">
        <v>4</v>
      </c>
      <c r="G156" s="43">
        <f>SUMIFS(TRANSACTION!D:D,TRANSACTION!C:C,Table1[[#This Row],[DESCRIPTION2]])</f>
        <v>0</v>
      </c>
      <c r="H156">
        <f>SUMIFS(TRANSACTION!$E:$E,TRANSACTION!$C:$C,Table1[[#This Row],[DESCRIPTION2]])</f>
        <v>3</v>
      </c>
      <c r="I156" s="42">
        <f>Table1[[#This Row],[OPENING]]+Table1[[#This Row],[RECEIPT]]-Table1[[#This Row],[ISSUANCE]]</f>
        <v>1</v>
      </c>
      <c r="K156" t="s">
        <v>658</v>
      </c>
    </row>
    <row r="157" spans="1:11" x14ac:dyDescent="0.25">
      <c r="A157" s="35">
        <f>IF(Table1[[#This Row],[DESCRIPTION2]]="","",A156+1)</f>
        <v>156</v>
      </c>
      <c r="B157" t="s">
        <v>289</v>
      </c>
      <c r="C157" t="s">
        <v>197</v>
      </c>
      <c r="D157" t="s">
        <v>294</v>
      </c>
      <c r="E157" s="37" t="s">
        <v>393</v>
      </c>
      <c r="F157" s="50">
        <v>25</v>
      </c>
      <c r="G157" s="43">
        <f>SUMIFS(TRANSACTION!D:D,TRANSACTION!C:C,Table1[[#This Row],[DESCRIPTION2]])</f>
        <v>0</v>
      </c>
      <c r="H157">
        <f>SUMIFS(TRANSACTION!$E:$E,TRANSACTION!$C:$C,Table1[[#This Row],[DESCRIPTION2]])</f>
        <v>8</v>
      </c>
      <c r="I157" s="42">
        <f>Table1[[#This Row],[OPENING]]+Table1[[#This Row],[RECEIPT]]-Table1[[#This Row],[ISSUANCE]]</f>
        <v>17</v>
      </c>
      <c r="K157" t="s">
        <v>664</v>
      </c>
    </row>
    <row r="158" spans="1:11" x14ac:dyDescent="0.25">
      <c r="A158" s="35">
        <f>IF(Table1[[#This Row],[DESCRIPTION2]]="","",A157+1)</f>
        <v>157</v>
      </c>
      <c r="B158" t="s">
        <v>281</v>
      </c>
      <c r="C158" t="s">
        <v>245</v>
      </c>
      <c r="D158" t="s">
        <v>294</v>
      </c>
      <c r="E158" s="37" t="s">
        <v>393</v>
      </c>
      <c r="F158" s="50">
        <v>1</v>
      </c>
      <c r="G158" s="43">
        <f>SUMIFS(TRANSACTION!D:D,TRANSACTION!C:C,Table1[[#This Row],[DESCRIPTION2]])</f>
        <v>0</v>
      </c>
      <c r="H158">
        <f>SUMIFS(TRANSACTION!$E:$E,TRANSACTION!$C:$C,Table1[[#This Row],[DESCRIPTION2]])</f>
        <v>1</v>
      </c>
      <c r="I158" s="42">
        <f>Table1[[#This Row],[OPENING]]+Table1[[#This Row],[RECEIPT]]-Table1[[#This Row],[ISSUANCE]]</f>
        <v>0</v>
      </c>
      <c r="K158" s="36"/>
    </row>
    <row r="159" spans="1:11" x14ac:dyDescent="0.25">
      <c r="A159" s="35">
        <f>IF(Table1[[#This Row],[DESCRIPTION2]]="","",A158+1)</f>
        <v>158</v>
      </c>
      <c r="B159" t="s">
        <v>290</v>
      </c>
      <c r="C159" t="s">
        <v>287</v>
      </c>
      <c r="D159" t="s">
        <v>294</v>
      </c>
      <c r="E159" s="37" t="s">
        <v>393</v>
      </c>
      <c r="F159" s="50">
        <v>6</v>
      </c>
      <c r="G159" s="43">
        <f>SUMIFS(TRANSACTION!D:D,TRANSACTION!C:C,Table1[[#This Row],[DESCRIPTION2]])</f>
        <v>0</v>
      </c>
      <c r="H159">
        <f>SUMIFS(TRANSACTION!$E:$E,TRANSACTION!$C:$C,Table1[[#This Row],[DESCRIPTION2]])</f>
        <v>3</v>
      </c>
      <c r="I159" s="42">
        <f>Table1[[#This Row],[OPENING]]+Table1[[#This Row],[RECEIPT]]-Table1[[#This Row],[ISSUANCE]]</f>
        <v>3</v>
      </c>
      <c r="K159" t="s">
        <v>669</v>
      </c>
    </row>
    <row r="160" spans="1:11" x14ac:dyDescent="0.25">
      <c r="A160" s="35">
        <f>IF(Table1[[#This Row],[DESCRIPTION2]]="","",A159+1)</f>
        <v>159</v>
      </c>
      <c r="B160" t="s">
        <v>291</v>
      </c>
      <c r="C160" t="s">
        <v>287</v>
      </c>
      <c r="D160" t="s">
        <v>294</v>
      </c>
      <c r="E160" s="37" t="s">
        <v>393</v>
      </c>
      <c r="F160" s="50">
        <v>6</v>
      </c>
      <c r="G160" s="43">
        <f>SUMIFS(TRANSACTION!D:D,TRANSACTION!C:C,Table1[[#This Row],[DESCRIPTION2]])</f>
        <v>0</v>
      </c>
      <c r="H160">
        <f>SUMIFS(TRANSACTION!$E:$E,TRANSACTION!$C:$C,Table1[[#This Row],[DESCRIPTION2]])</f>
        <v>6</v>
      </c>
      <c r="I160" s="42">
        <f>Table1[[#This Row],[OPENING]]+Table1[[#This Row],[RECEIPT]]-Table1[[#This Row],[ISSUANCE]]</f>
        <v>0</v>
      </c>
      <c r="K160" s="36"/>
    </row>
    <row r="161" spans="1:11" x14ac:dyDescent="0.25">
      <c r="A161" s="35">
        <f>IF(Table1[[#This Row],[DESCRIPTION2]]="","",A160+1)</f>
        <v>160</v>
      </c>
      <c r="B161" t="s">
        <v>197</v>
      </c>
      <c r="C161" t="s">
        <v>197</v>
      </c>
      <c r="D161" t="s">
        <v>294</v>
      </c>
      <c r="E161" s="37" t="s">
        <v>393</v>
      </c>
      <c r="F161" s="50">
        <v>4</v>
      </c>
      <c r="G161" s="43">
        <f>SUMIFS(TRANSACTION!D:D,TRANSACTION!C:C,Table1[[#This Row],[DESCRIPTION2]])</f>
        <v>0</v>
      </c>
      <c r="H161">
        <f>SUMIFS(TRANSACTION!$E:$E,TRANSACTION!$C:$C,Table1[[#This Row],[DESCRIPTION2]])</f>
        <v>0</v>
      </c>
      <c r="I161" s="42">
        <f>Table1[[#This Row],[OPENING]]+Table1[[#This Row],[RECEIPT]]-Table1[[#This Row],[ISSUANCE]]</f>
        <v>4</v>
      </c>
      <c r="K161" t="s">
        <v>670</v>
      </c>
    </row>
    <row r="162" spans="1:11" x14ac:dyDescent="0.25">
      <c r="A162" s="35">
        <f>IF(Table1[[#This Row],[DESCRIPTION2]]="","",A161+1)</f>
        <v>161</v>
      </c>
      <c r="B162" t="s">
        <v>282</v>
      </c>
      <c r="C162" t="s">
        <v>197</v>
      </c>
      <c r="D162" t="s">
        <v>294</v>
      </c>
      <c r="E162" s="37" t="s">
        <v>393</v>
      </c>
      <c r="F162" s="50">
        <v>6</v>
      </c>
      <c r="G162" s="43">
        <f>SUMIFS(TRANSACTION!D:D,TRANSACTION!C:C,Table1[[#This Row],[DESCRIPTION2]])</f>
        <v>0</v>
      </c>
      <c r="H162">
        <f>SUMIFS(TRANSACTION!$E:$E,TRANSACTION!$C:$C,Table1[[#This Row],[DESCRIPTION2]])</f>
        <v>0</v>
      </c>
      <c r="I162" s="42">
        <f>Table1[[#This Row],[OPENING]]+Table1[[#This Row],[RECEIPT]]-Table1[[#This Row],[ISSUANCE]]</f>
        <v>6</v>
      </c>
      <c r="K162" t="s">
        <v>663</v>
      </c>
    </row>
    <row r="163" spans="1:11" x14ac:dyDescent="0.25">
      <c r="A163" s="35">
        <f>IF(Table1[[#This Row],[DESCRIPTION2]]="","",A162+1)</f>
        <v>162</v>
      </c>
      <c r="B163" t="s">
        <v>283</v>
      </c>
      <c r="C163" t="s">
        <v>283</v>
      </c>
      <c r="D163" t="s">
        <v>294</v>
      </c>
      <c r="E163" s="37" t="s">
        <v>393</v>
      </c>
      <c r="F163" s="50">
        <v>2</v>
      </c>
      <c r="G163" s="43">
        <f>SUMIFS(TRANSACTION!D:D,TRANSACTION!C:C,Table1[[#This Row],[DESCRIPTION2]])</f>
        <v>0</v>
      </c>
      <c r="H163">
        <f>SUMIFS(TRANSACTION!$E:$E,TRANSACTION!$C:$C,Table1[[#This Row],[DESCRIPTION2]])</f>
        <v>2</v>
      </c>
      <c r="I163" s="42">
        <f>Table1[[#This Row],[OPENING]]+Table1[[#This Row],[RECEIPT]]-Table1[[#This Row],[ISSUANCE]]</f>
        <v>0</v>
      </c>
    </row>
    <row r="164" spans="1:11" x14ac:dyDescent="0.25">
      <c r="A164" s="35">
        <f>IF(Table1[[#This Row],[DESCRIPTION2]]="","",A163+1)</f>
        <v>163</v>
      </c>
      <c r="B164" t="s">
        <v>284</v>
      </c>
      <c r="C164" t="s">
        <v>284</v>
      </c>
      <c r="D164" t="s">
        <v>294</v>
      </c>
      <c r="E164" s="37" t="s">
        <v>393</v>
      </c>
      <c r="F164" s="50">
        <v>6</v>
      </c>
      <c r="G164" s="43">
        <f>SUMIFS(TRANSACTION!D:D,TRANSACTION!C:C,Table1[[#This Row],[DESCRIPTION2]])</f>
        <v>0</v>
      </c>
      <c r="H164">
        <f>SUMIFS(TRANSACTION!$E:$E,TRANSACTION!$C:$C,Table1[[#This Row],[DESCRIPTION2]])</f>
        <v>0</v>
      </c>
      <c r="I164" s="42">
        <f>Table1[[#This Row],[OPENING]]+Table1[[#This Row],[RECEIPT]]-Table1[[#This Row],[ISSUANCE]]</f>
        <v>6</v>
      </c>
      <c r="K164" t="s">
        <v>662</v>
      </c>
    </row>
    <row r="165" spans="1:11" x14ac:dyDescent="0.25">
      <c r="A165" s="35">
        <f>IF(Table1[[#This Row],[DESCRIPTION2]]="","",A164+1)</f>
        <v>164</v>
      </c>
      <c r="B165" t="s">
        <v>292</v>
      </c>
      <c r="C165" t="s">
        <v>285</v>
      </c>
      <c r="D165" t="s">
        <v>294</v>
      </c>
      <c r="E165" s="37" t="s">
        <v>393</v>
      </c>
      <c r="F165" s="50">
        <v>3</v>
      </c>
      <c r="G165" s="43">
        <f>SUMIFS(TRANSACTION!D:D,TRANSACTION!C:C,Table1[[#This Row],[DESCRIPTION2]])</f>
        <v>0</v>
      </c>
      <c r="H165">
        <f>SUMIFS(TRANSACTION!$E:$E,TRANSACTION!$C:$C,Table1[[#This Row],[DESCRIPTION2]])</f>
        <v>3</v>
      </c>
      <c r="I165" s="42">
        <f>Table1[[#This Row],[OPENING]]+Table1[[#This Row],[RECEIPT]]-Table1[[#This Row],[ISSUANCE]]</f>
        <v>0</v>
      </c>
      <c r="K165" s="36"/>
    </row>
    <row r="166" spans="1:11" x14ac:dyDescent="0.25">
      <c r="A166" s="35">
        <f>IF(Table1[[#This Row],[DESCRIPTION2]]="","",A165+1)</f>
        <v>165</v>
      </c>
      <c r="B166" t="s">
        <v>285</v>
      </c>
      <c r="C166" t="s">
        <v>285</v>
      </c>
      <c r="D166" t="s">
        <v>294</v>
      </c>
      <c r="E166" s="37" t="s">
        <v>393</v>
      </c>
      <c r="F166" s="50">
        <v>16</v>
      </c>
      <c r="G166" s="43">
        <f>SUMIFS(TRANSACTION!D:D,TRANSACTION!C:C,Table1[[#This Row],[DESCRIPTION2]])</f>
        <v>22</v>
      </c>
      <c r="H166">
        <f>SUMIFS(TRANSACTION!$E:$E,TRANSACTION!$C:$C,Table1[[#This Row],[DESCRIPTION2]])</f>
        <v>38</v>
      </c>
      <c r="I166" s="42">
        <f>Table1[[#This Row],[OPENING]]+Table1[[#This Row],[RECEIPT]]-Table1[[#This Row],[ISSUANCE]]</f>
        <v>0</v>
      </c>
    </row>
    <row r="167" spans="1:11" x14ac:dyDescent="0.25">
      <c r="A167" s="35">
        <f>IF(Table1[[#This Row],[DESCRIPTION2]]="","",A166+1)</f>
        <v>166</v>
      </c>
      <c r="B167" t="s">
        <v>293</v>
      </c>
      <c r="C167" t="s">
        <v>288</v>
      </c>
      <c r="D167" t="s">
        <v>294</v>
      </c>
      <c r="E167" s="37" t="s">
        <v>393</v>
      </c>
      <c r="F167" s="50">
        <v>3</v>
      </c>
      <c r="G167" s="43">
        <f>SUMIFS(TRANSACTION!D:D,TRANSACTION!C:C,Table1[[#This Row],[DESCRIPTION2]])</f>
        <v>0</v>
      </c>
      <c r="H167">
        <f>SUMIFS(TRANSACTION!$E:$E,TRANSACTION!$C:$C,Table1[[#This Row],[DESCRIPTION2]])</f>
        <v>0</v>
      </c>
      <c r="I167" s="42">
        <f>Table1[[#This Row],[OPENING]]+Table1[[#This Row],[RECEIPT]]-Table1[[#This Row],[ISSUANCE]]</f>
        <v>3</v>
      </c>
      <c r="K167" t="s">
        <v>669</v>
      </c>
    </row>
    <row r="168" spans="1:11" x14ac:dyDescent="0.25">
      <c r="A168" s="35">
        <f>IF(Table1[[#This Row],[DESCRIPTION2]]="","",A167+1)</f>
        <v>167</v>
      </c>
      <c r="B168" t="s">
        <v>286</v>
      </c>
      <c r="C168" t="s">
        <v>369</v>
      </c>
      <c r="D168" t="s">
        <v>294</v>
      </c>
      <c r="E168" s="37" t="s">
        <v>393</v>
      </c>
      <c r="F168" s="50">
        <v>9</v>
      </c>
      <c r="G168" s="43">
        <f>SUMIFS(TRANSACTION!D:D,TRANSACTION!C:C,Table1[[#This Row],[DESCRIPTION2]])</f>
        <v>0</v>
      </c>
      <c r="H168">
        <f>SUMIFS(TRANSACTION!$E:$E,TRANSACTION!$C:$C,Table1[[#This Row],[DESCRIPTION2]])</f>
        <v>9</v>
      </c>
      <c r="I168" s="42">
        <f>Table1[[#This Row],[OPENING]]+Table1[[#This Row],[RECEIPT]]-Table1[[#This Row],[ISSUANCE]]</f>
        <v>0</v>
      </c>
    </row>
    <row r="169" spans="1:11" x14ac:dyDescent="0.25">
      <c r="A169" s="35">
        <f>IF(Table1[[#This Row],[DESCRIPTION2]]="","",A168+1)</f>
        <v>168</v>
      </c>
      <c r="B169" t="s">
        <v>295</v>
      </c>
      <c r="C169" t="s">
        <v>296</v>
      </c>
      <c r="D169" t="s">
        <v>294</v>
      </c>
      <c r="E169" s="37" t="s">
        <v>393</v>
      </c>
      <c r="F169" s="50">
        <v>0</v>
      </c>
      <c r="G169" s="43">
        <f>SUMIFS(TRANSACTION!D:D,TRANSACTION!C:C,Table1[[#This Row],[DESCRIPTION2]])</f>
        <v>3</v>
      </c>
      <c r="H169">
        <f>SUMIFS(TRANSACTION!$E:$E,TRANSACTION!$C:$C,Table1[[#This Row],[DESCRIPTION2]])</f>
        <v>2</v>
      </c>
      <c r="I169" s="42">
        <f>Table1[[#This Row],[OPENING]]+Table1[[#This Row],[RECEIPT]]-Table1[[#This Row],[ISSUANCE]]</f>
        <v>1</v>
      </c>
    </row>
    <row r="170" spans="1:11" x14ac:dyDescent="0.25">
      <c r="A170" s="35">
        <f>IF(Table1[[#This Row],[DESCRIPTION2]]="","",A169+1)</f>
        <v>169</v>
      </c>
      <c r="B170" t="s">
        <v>329</v>
      </c>
      <c r="C170" t="s">
        <v>383</v>
      </c>
      <c r="D170" t="s">
        <v>294</v>
      </c>
      <c r="E170" s="37" t="s">
        <v>393</v>
      </c>
      <c r="F170" s="50">
        <v>0</v>
      </c>
      <c r="G170" s="43">
        <f>SUMIFS(TRANSACTION!D:D,TRANSACTION!C:C,Table1[[#This Row],[DESCRIPTION2]])</f>
        <v>3</v>
      </c>
      <c r="H170">
        <f>SUMIFS(TRANSACTION!$E:$E,TRANSACTION!$C:$C,Table1[[#This Row],[DESCRIPTION2]])</f>
        <v>0</v>
      </c>
      <c r="I170" s="42">
        <f>Table1[[#This Row],[OPENING]]+Table1[[#This Row],[RECEIPT]]-Table1[[#This Row],[ISSUANCE]]</f>
        <v>3</v>
      </c>
    </row>
    <row r="171" spans="1:11" x14ac:dyDescent="0.25">
      <c r="A171" s="35">
        <f>IF(Table1[[#This Row],[DESCRIPTION2]]="","",A170+1)</f>
        <v>170</v>
      </c>
      <c r="B171" t="s">
        <v>384</v>
      </c>
      <c r="C171" t="s">
        <v>371</v>
      </c>
      <c r="D171" t="s">
        <v>294</v>
      </c>
      <c r="E171" s="37" t="s">
        <v>393</v>
      </c>
      <c r="F171" s="50">
        <v>0</v>
      </c>
      <c r="G171" s="43">
        <f>SUMIFS(TRANSACTION!D:D,TRANSACTION!C:C,Table1[[#This Row],[DESCRIPTION2]])</f>
        <v>0</v>
      </c>
      <c r="H171">
        <f>SUMIFS(TRANSACTION!$E:$E,TRANSACTION!$C:$C,Table1[[#This Row],[DESCRIPTION2]])</f>
        <v>0</v>
      </c>
      <c r="I171" s="42">
        <f>Table1[[#This Row],[OPENING]]+Table1[[#This Row],[RECEIPT]]-Table1[[#This Row],[ISSUANCE]]</f>
        <v>0</v>
      </c>
    </row>
    <row r="172" spans="1:11" x14ac:dyDescent="0.25">
      <c r="A172" s="35">
        <f>IF(Table1[[#This Row],[DESCRIPTION2]]="","",A171+1)</f>
        <v>171</v>
      </c>
      <c r="B172" s="37" t="s">
        <v>395</v>
      </c>
      <c r="C172" s="37" t="s">
        <v>396</v>
      </c>
      <c r="D172" s="37" t="s">
        <v>260</v>
      </c>
      <c r="E172" s="37" t="s">
        <v>393</v>
      </c>
      <c r="F172" s="50">
        <v>2</v>
      </c>
      <c r="G172" s="43">
        <f>SUMIFS(TRANSACTION!D:D,TRANSACTION!C:C,Table1[[#This Row],[DESCRIPTION2]])</f>
        <v>10</v>
      </c>
      <c r="H172">
        <f>SUMIFS(TRANSACTION!$E:$E,TRANSACTION!$C:$C,Table1[[#This Row],[DESCRIPTION2]])</f>
        <v>12</v>
      </c>
      <c r="I172" s="42">
        <f>Table1[[#This Row],[OPENING]]+Table1[[#This Row],[RECEIPT]]-Table1[[#This Row],[ISSUANCE]]</f>
        <v>0</v>
      </c>
    </row>
    <row r="173" spans="1:11" x14ac:dyDescent="0.25">
      <c r="A173" s="35">
        <f>IF(Table1[[#This Row],[DESCRIPTION2]]="","",A172+1)</f>
        <v>172</v>
      </c>
      <c r="B173" s="37" t="s">
        <v>397</v>
      </c>
      <c r="C173" s="37" t="s">
        <v>334</v>
      </c>
      <c r="D173" s="37" t="s">
        <v>156</v>
      </c>
      <c r="E173" s="37" t="s">
        <v>393</v>
      </c>
      <c r="F173" s="50">
        <v>10</v>
      </c>
      <c r="G173" s="43">
        <f>SUMIFS(TRANSACTION!D:D,TRANSACTION!C:C,Table1[[#This Row],[DESCRIPTION2]])</f>
        <v>228</v>
      </c>
      <c r="H173">
        <f>SUMIFS(TRANSACTION!$E:$E,TRANSACTION!$C:$C,Table1[[#This Row],[DESCRIPTION2]])</f>
        <v>145</v>
      </c>
      <c r="I173" s="42">
        <f>Table1[[#This Row],[OPENING]]+Table1[[#This Row],[RECEIPT]]-Table1[[#This Row],[ISSUANCE]]</f>
        <v>93</v>
      </c>
    </row>
    <row r="174" spans="1:11" x14ac:dyDescent="0.25">
      <c r="A174" s="35">
        <f>IF(Table1[[#This Row],[DESCRIPTION2]]="","",A173+1)</f>
        <v>173</v>
      </c>
      <c r="B174" s="37" t="s">
        <v>399</v>
      </c>
      <c r="C174" s="37" t="s">
        <v>308</v>
      </c>
      <c r="D174" s="37" t="s">
        <v>398</v>
      </c>
      <c r="E174" s="37" t="s">
        <v>393</v>
      </c>
      <c r="F174" s="50">
        <v>54</v>
      </c>
      <c r="G174" s="43">
        <f>SUMIFS(TRANSACTION!D:D,TRANSACTION!C:C,Table1[[#This Row],[DESCRIPTION2]])</f>
        <v>0</v>
      </c>
      <c r="H174">
        <f>SUMIFS(TRANSACTION!$E:$E,TRANSACTION!$C:$C,Table1[[#This Row],[DESCRIPTION2]])</f>
        <v>38</v>
      </c>
      <c r="I174" s="42">
        <f>Table1[[#This Row],[OPENING]]+Table1[[#This Row],[RECEIPT]]-Table1[[#This Row],[ISSUANCE]]</f>
        <v>16</v>
      </c>
      <c r="K174" t="s">
        <v>670</v>
      </c>
    </row>
    <row r="175" spans="1:11" x14ac:dyDescent="0.25">
      <c r="A175" s="35">
        <f>IF(Table1[[#This Row],[DESCRIPTION2]]="","",A174+1)</f>
        <v>174</v>
      </c>
      <c r="B175" t="s">
        <v>410</v>
      </c>
      <c r="C175" t="s">
        <v>401</v>
      </c>
      <c r="D175" t="s">
        <v>181</v>
      </c>
      <c r="E175" t="s">
        <v>393</v>
      </c>
      <c r="F175" s="50">
        <v>2</v>
      </c>
      <c r="G175" s="43">
        <f>SUMIFS(TRANSACTION!D:D,TRANSACTION!C:C,Table1[[#This Row],[DESCRIPTION2]])</f>
        <v>0</v>
      </c>
      <c r="H175">
        <f>SUMIFS(TRANSACTION!$E:$E,TRANSACTION!$C:$C,Table1[[#This Row],[DESCRIPTION2]])</f>
        <v>2</v>
      </c>
      <c r="I175" s="42">
        <f>Table1[[#This Row],[OPENING]]+Table1[[#This Row],[RECEIPT]]-Table1[[#This Row],[ISSUANCE]]</f>
        <v>0</v>
      </c>
    </row>
    <row r="176" spans="1:11" x14ac:dyDescent="0.25">
      <c r="A176" s="35">
        <f>IF(Table1[[#This Row],[DESCRIPTION2]]="","",A175+1)</f>
        <v>175</v>
      </c>
      <c r="B176" t="s">
        <v>400</v>
      </c>
      <c r="C176" t="s">
        <v>402</v>
      </c>
      <c r="D176" t="s">
        <v>181</v>
      </c>
      <c r="E176" t="s">
        <v>393</v>
      </c>
      <c r="F176" s="50">
        <v>8</v>
      </c>
      <c r="G176" s="43">
        <f>SUMIFS(TRANSACTION!D:D,TRANSACTION!C:C,Table1[[#This Row],[DESCRIPTION2]])</f>
        <v>30</v>
      </c>
      <c r="H176">
        <f>SUMIFS(TRANSACTION!$E:$E,TRANSACTION!$C:$C,Table1[[#This Row],[DESCRIPTION2]])</f>
        <v>18</v>
      </c>
      <c r="I176" s="42">
        <f>Table1[[#This Row],[OPENING]]+Table1[[#This Row],[RECEIPT]]-Table1[[#This Row],[ISSUANCE]]</f>
        <v>20</v>
      </c>
    </row>
    <row r="177" spans="1:9" x14ac:dyDescent="0.25">
      <c r="A177" s="35">
        <f>IF(Table1[[#This Row],[DESCRIPTION2]]="","",A176+1)</f>
        <v>176</v>
      </c>
      <c r="B177" t="s">
        <v>403</v>
      </c>
      <c r="C177" t="s">
        <v>298</v>
      </c>
      <c r="D177" t="s">
        <v>404</v>
      </c>
      <c r="E177" t="s">
        <v>393</v>
      </c>
      <c r="F177" s="50">
        <v>2</v>
      </c>
      <c r="G177" s="43">
        <f>SUMIFS(TRANSACTION!D:D,TRANSACTION!C:C,Table1[[#This Row],[DESCRIPTION2]])</f>
        <v>10</v>
      </c>
      <c r="H177">
        <f>SUMIFS(TRANSACTION!$E:$E,TRANSACTION!$C:$C,Table1[[#This Row],[DESCRIPTION2]])</f>
        <v>2</v>
      </c>
      <c r="I177" s="42">
        <f>Table1[[#This Row],[OPENING]]+Table1[[#This Row],[RECEIPT]]-Table1[[#This Row],[ISSUANCE]]</f>
        <v>10</v>
      </c>
    </row>
    <row r="178" spans="1:9" x14ac:dyDescent="0.25">
      <c r="A178" s="35">
        <f>IF(Table1[[#This Row],[DESCRIPTION2]]="","",A177+1)</f>
        <v>177</v>
      </c>
      <c r="B178" t="s">
        <v>405</v>
      </c>
      <c r="C178" t="s">
        <v>136</v>
      </c>
      <c r="D178" t="s">
        <v>404</v>
      </c>
      <c r="E178" t="s">
        <v>393</v>
      </c>
      <c r="F178" s="50">
        <v>2</v>
      </c>
      <c r="G178" s="43">
        <f>SUMIFS(TRANSACTION!D:D,TRANSACTION!C:C,Table1[[#This Row],[DESCRIPTION2]])</f>
        <v>10</v>
      </c>
      <c r="H178">
        <f>SUMIFS(TRANSACTION!$E:$E,TRANSACTION!$C:$C,Table1[[#This Row],[DESCRIPTION2]])</f>
        <v>2</v>
      </c>
      <c r="I178" s="42">
        <f>Table1[[#This Row],[OPENING]]+Table1[[#This Row],[RECEIPT]]-Table1[[#This Row],[ISSUANCE]]</f>
        <v>10</v>
      </c>
    </row>
    <row r="179" spans="1:9" x14ac:dyDescent="0.25">
      <c r="A179" s="35">
        <f>IF(Table1[[#This Row],[DESCRIPTION2]]="","",A178+1)</f>
        <v>178</v>
      </c>
      <c r="B179" t="s">
        <v>406</v>
      </c>
      <c r="C179" t="s">
        <v>355</v>
      </c>
      <c r="D179" t="s">
        <v>162</v>
      </c>
      <c r="E179" t="s">
        <v>393</v>
      </c>
      <c r="F179" s="50">
        <v>4</v>
      </c>
      <c r="G179" s="43">
        <f>SUMIFS(TRANSACTION!D:D,TRANSACTION!C:C,Table1[[#This Row],[DESCRIPTION2]])</f>
        <v>0</v>
      </c>
      <c r="H179">
        <f>SUMIFS(TRANSACTION!$E:$E,TRANSACTION!$C:$C,Table1[[#This Row],[DESCRIPTION2]])</f>
        <v>4</v>
      </c>
      <c r="I179" s="42">
        <f>Table1[[#This Row],[OPENING]]+Table1[[#This Row],[RECEIPT]]-Table1[[#This Row],[ISSUANCE]]</f>
        <v>0</v>
      </c>
    </row>
    <row r="180" spans="1:9" x14ac:dyDescent="0.25">
      <c r="A180" s="35">
        <f>IF(Table1[[#This Row],[DESCRIPTION2]]="","",A179+1)</f>
        <v>179</v>
      </c>
      <c r="B180" t="s">
        <v>417</v>
      </c>
      <c r="C180" t="s">
        <v>245</v>
      </c>
      <c r="D180" t="s">
        <v>294</v>
      </c>
      <c r="E180" t="s">
        <v>393</v>
      </c>
      <c r="F180" s="50">
        <v>0</v>
      </c>
      <c r="G180" s="43">
        <f>SUMIFS(TRANSACTION!D:D,TRANSACTION!C:C,Table1[[#This Row],[DESCRIPTION2]])</f>
        <v>13</v>
      </c>
      <c r="H180">
        <f>SUMIFS(TRANSACTION!$E:$E,TRANSACTION!$C:$C,Table1[[#This Row],[DESCRIPTION2]])</f>
        <v>10</v>
      </c>
      <c r="I180" s="42">
        <f>Table1[[#This Row],[OPENING]]+Table1[[#This Row],[RECEIPT]]-Table1[[#This Row],[ISSUANCE]]</f>
        <v>3</v>
      </c>
    </row>
    <row r="181" spans="1:9" x14ac:dyDescent="0.25">
      <c r="A181" s="35">
        <f>IF(Table1[[#This Row],[DESCRIPTION2]]="","",A180+1)</f>
        <v>180</v>
      </c>
      <c r="B181" t="s">
        <v>415</v>
      </c>
      <c r="C181" t="s">
        <v>418</v>
      </c>
      <c r="D181" t="s">
        <v>181</v>
      </c>
      <c r="E181" t="s">
        <v>393</v>
      </c>
      <c r="F181" s="50">
        <v>0</v>
      </c>
      <c r="G181" s="43">
        <f>SUMIFS(TRANSACTION!D:D,TRANSACTION!C:C,Table1[[#This Row],[DESCRIPTION2]])</f>
        <v>10</v>
      </c>
      <c r="H181">
        <f>SUMIFS(TRANSACTION!$E:$E,TRANSACTION!$C:$C,Table1[[#This Row],[DESCRIPTION2]])</f>
        <v>7</v>
      </c>
      <c r="I181" s="42">
        <f>Table1[[#This Row],[OPENING]]+Table1[[#This Row],[RECEIPT]]-Table1[[#This Row],[ISSUANCE]]</f>
        <v>3</v>
      </c>
    </row>
    <row r="182" spans="1:9" x14ac:dyDescent="0.25">
      <c r="A182" s="35">
        <f>IF(Table1[[#This Row],[DESCRIPTION2]]="","",A181+1)</f>
        <v>181</v>
      </c>
      <c r="B182" t="s">
        <v>414</v>
      </c>
      <c r="C182" t="s">
        <v>113</v>
      </c>
      <c r="D182" t="s">
        <v>109</v>
      </c>
      <c r="E182" t="s">
        <v>393</v>
      </c>
      <c r="F182" s="50">
        <v>0</v>
      </c>
      <c r="G182" s="44">
        <f>SUMIFS(TRANSACTION!D:D,TRANSACTION!C:C,Table1[[#This Row],[DESCRIPTION2]])</f>
        <v>70</v>
      </c>
      <c r="H182">
        <f>SUMIFS(TRANSACTION!$E:$E,TRANSACTION!$C:$C,Table1[[#This Row],[DESCRIPTION2]])</f>
        <v>40</v>
      </c>
      <c r="I182" s="42">
        <f>Table1[[#This Row],[OPENING]]+Table1[[#This Row],[RECEIPT]]-Table1[[#This Row],[ISSUANCE]]</f>
        <v>30</v>
      </c>
    </row>
    <row r="183" spans="1:9" x14ac:dyDescent="0.25">
      <c r="A183" s="35">
        <f>IF(Table1[[#This Row],[DESCRIPTION2]]="","",A182+1)</f>
        <v>182</v>
      </c>
      <c r="B183" t="s">
        <v>416</v>
      </c>
      <c r="C183" t="s">
        <v>358</v>
      </c>
      <c r="D183" t="s">
        <v>181</v>
      </c>
      <c r="E183" t="s">
        <v>393</v>
      </c>
      <c r="F183" s="50">
        <v>0</v>
      </c>
      <c r="G183" s="44">
        <f>SUMIFS(TRANSACTION!D:D,TRANSACTION!C:C,Table1[[#This Row],[DESCRIPTION2]])</f>
        <v>25</v>
      </c>
      <c r="H183">
        <f>SUMIFS(TRANSACTION!$E:$E,TRANSACTION!$C:$C,Table1[[#This Row],[DESCRIPTION2]])</f>
        <v>19</v>
      </c>
      <c r="I183" s="42">
        <f>Table1[[#This Row],[OPENING]]+Table1[[#This Row],[RECEIPT]]-Table1[[#This Row],[ISSUANCE]]</f>
        <v>6</v>
      </c>
    </row>
    <row r="184" spans="1:9" x14ac:dyDescent="0.25">
      <c r="A184" s="35">
        <f>IF(Table1[[#This Row],[DESCRIPTION2]]="","",A183+1)</f>
        <v>183</v>
      </c>
      <c r="B184" t="s">
        <v>420</v>
      </c>
      <c r="C184" t="s">
        <v>192</v>
      </c>
      <c r="D184" t="s">
        <v>156</v>
      </c>
      <c r="E184" t="s">
        <v>393</v>
      </c>
      <c r="F184" s="50">
        <v>0</v>
      </c>
      <c r="G184" s="44">
        <f>SUMIFS(TRANSACTION!D:D,TRANSACTION!C:C,Table1[[#This Row],[DESCRIPTION2]])</f>
        <v>226</v>
      </c>
      <c r="H184">
        <f>SUMIFS(TRANSACTION!$E:$E,TRANSACTION!$C:$C,Table1[[#This Row],[DESCRIPTION2]])</f>
        <v>126</v>
      </c>
      <c r="I184" s="42">
        <f>Table1[[#This Row],[OPENING]]+Table1[[#This Row],[RECEIPT]]-Table1[[#This Row],[ISSUANCE]]</f>
        <v>100</v>
      </c>
    </row>
    <row r="185" spans="1:9" x14ac:dyDescent="0.25">
      <c r="A185" s="35">
        <f>IF(Table1[[#This Row],[DESCRIPTION2]]="","",A184+1)</f>
        <v>184</v>
      </c>
      <c r="B185" t="s">
        <v>421</v>
      </c>
      <c r="C185" t="s">
        <v>422</v>
      </c>
      <c r="D185" t="s">
        <v>156</v>
      </c>
      <c r="E185" t="s">
        <v>393</v>
      </c>
      <c r="F185" s="50">
        <v>0</v>
      </c>
      <c r="G185" s="44">
        <f>SUMIFS(TRANSACTION!D:D,TRANSACTION!C:C,Table1[[#This Row],[DESCRIPTION2]])</f>
        <v>289</v>
      </c>
      <c r="H185">
        <f>SUMIFS(TRANSACTION!$E:$E,TRANSACTION!$C:$C,Table1[[#This Row],[DESCRIPTION2]])</f>
        <v>194</v>
      </c>
      <c r="I185" s="42">
        <f>Table1[[#This Row],[OPENING]]+Table1[[#This Row],[RECEIPT]]-Table1[[#This Row],[ISSUANCE]]</f>
        <v>95</v>
      </c>
    </row>
    <row r="186" spans="1:9" x14ac:dyDescent="0.25">
      <c r="A186" s="35">
        <f>IF(Table1[[#This Row],[DESCRIPTION2]]="","",A185+1)</f>
        <v>185</v>
      </c>
      <c r="B186" t="s">
        <v>423</v>
      </c>
      <c r="C186" t="s">
        <v>382</v>
      </c>
      <c r="D186" t="s">
        <v>181</v>
      </c>
      <c r="E186" t="s">
        <v>393</v>
      </c>
      <c r="F186" s="50">
        <v>0</v>
      </c>
      <c r="G186" s="44">
        <f>SUMIFS(TRANSACTION!D:D,TRANSACTION!C:C,Table1[[#This Row],[DESCRIPTION2]])</f>
        <v>20</v>
      </c>
      <c r="H186">
        <f>SUMIFS(TRANSACTION!$E:$E,TRANSACTION!$C:$C,Table1[[#This Row],[DESCRIPTION2]])</f>
        <v>11</v>
      </c>
      <c r="I186" s="42">
        <f>Table1[[#This Row],[OPENING]]+Table1[[#This Row],[RECEIPT]]-Table1[[#This Row],[ISSUANCE]]</f>
        <v>9</v>
      </c>
    </row>
    <row r="187" spans="1:9" x14ac:dyDescent="0.25">
      <c r="A187" s="35">
        <f>IF(Table1[[#This Row],[DESCRIPTION2]]="","",A186+1)</f>
        <v>186</v>
      </c>
      <c r="B187" t="s">
        <v>424</v>
      </c>
      <c r="C187" t="s">
        <v>246</v>
      </c>
      <c r="D187" t="s">
        <v>181</v>
      </c>
      <c r="E187" t="s">
        <v>393</v>
      </c>
      <c r="F187" s="50">
        <v>0</v>
      </c>
      <c r="G187" s="44">
        <f>SUMIFS(TRANSACTION!D:D,TRANSACTION!C:C,Table1[[#This Row],[DESCRIPTION2]])</f>
        <v>2</v>
      </c>
      <c r="H187">
        <f>SUMIFS(TRANSACTION!$E:$E,TRANSACTION!$C:$C,Table1[[#This Row],[DESCRIPTION2]])</f>
        <v>2</v>
      </c>
      <c r="I187" s="42">
        <f>Table1[[#This Row],[OPENING]]+Table1[[#This Row],[RECEIPT]]-Table1[[#This Row],[ISSUANCE]]</f>
        <v>0</v>
      </c>
    </row>
    <row r="188" spans="1:9" x14ac:dyDescent="0.25">
      <c r="A188" s="35">
        <f>IF(Table1[[#This Row],[DESCRIPTION2]]="","",A187+1)</f>
        <v>187</v>
      </c>
      <c r="B188" t="s">
        <v>425</v>
      </c>
      <c r="C188" t="s">
        <v>426</v>
      </c>
      <c r="D188" t="s">
        <v>181</v>
      </c>
      <c r="E188" t="s">
        <v>393</v>
      </c>
      <c r="F188" s="50">
        <v>0</v>
      </c>
      <c r="G188" s="44">
        <f>SUMIFS(TRANSACTION!D:D,TRANSACTION!C:C,Table1[[#This Row],[DESCRIPTION2]])</f>
        <v>70</v>
      </c>
      <c r="H188">
        <f>SUMIFS(TRANSACTION!$E:$E,TRANSACTION!$C:$C,Table1[[#This Row],[DESCRIPTION2]])</f>
        <v>20</v>
      </c>
      <c r="I188" s="45">
        <f>Table1[[#This Row],[OPENING]]+Table1[[#This Row],[RECEIPT]]-Table1[[#This Row],[ISSUANCE]]</f>
        <v>50</v>
      </c>
    </row>
    <row r="189" spans="1:9" x14ac:dyDescent="0.25">
      <c r="A189" s="35">
        <f>IF(Table1[[#This Row],[DESCRIPTION2]]="","",A188+1)</f>
        <v>188</v>
      </c>
      <c r="B189" t="s">
        <v>427</v>
      </c>
      <c r="C189" t="s">
        <v>428</v>
      </c>
      <c r="D189" t="s">
        <v>294</v>
      </c>
      <c r="E189" t="s">
        <v>393</v>
      </c>
      <c r="F189" s="50">
        <v>0</v>
      </c>
      <c r="G189" s="44">
        <f>SUMIFS(TRANSACTION!D:D,TRANSACTION!C:C,Table1[[#This Row],[DESCRIPTION2]])</f>
        <v>10</v>
      </c>
      <c r="H189">
        <f>SUMIFS(TRANSACTION!$E:$E,TRANSACTION!$C:$C,Table1[[#This Row],[DESCRIPTION2]])</f>
        <v>10</v>
      </c>
      <c r="I189" s="45">
        <f>Table1[[#This Row],[OPENING]]+Table1[[#This Row],[RECEIPT]]-Table1[[#This Row],[ISSUANCE]]</f>
        <v>0</v>
      </c>
    </row>
    <row r="190" spans="1:9" x14ac:dyDescent="0.25">
      <c r="A190" s="35">
        <f>IF(Table1[[#This Row],[DESCRIPTION2]]="","",A189+1)</f>
        <v>189</v>
      </c>
      <c r="B190" t="s">
        <v>429</v>
      </c>
      <c r="C190" t="s">
        <v>365</v>
      </c>
      <c r="D190" t="s">
        <v>430</v>
      </c>
      <c r="E190" t="s">
        <v>393</v>
      </c>
      <c r="F190" s="50">
        <v>112</v>
      </c>
      <c r="G190" s="44">
        <f>SUMIFS(TRANSACTION!D:D,TRANSACTION!C:C,Table1[[#This Row],[DESCRIPTION2]])</f>
        <v>0</v>
      </c>
      <c r="H190">
        <f>SUMIFS(TRANSACTION!$E:$E,TRANSACTION!$C:$C,Table1[[#This Row],[DESCRIPTION2]])</f>
        <v>112</v>
      </c>
      <c r="I190" s="42">
        <f>Table1[[#This Row],[OPENING]]+Table1[[#This Row],[RECEIPT]]-Table1[[#This Row],[ISSUANCE]]</f>
        <v>0</v>
      </c>
    </row>
    <row r="191" spans="1:9" x14ac:dyDescent="0.25">
      <c r="A191" s="35">
        <f>IF(Table1[[#This Row],[DESCRIPTION2]]="","",A190+1)</f>
        <v>190</v>
      </c>
      <c r="B191" t="s">
        <v>432</v>
      </c>
      <c r="C191" s="46" t="s">
        <v>433</v>
      </c>
      <c r="D191" t="s">
        <v>161</v>
      </c>
      <c r="E191" t="s">
        <v>393</v>
      </c>
      <c r="F191" s="50">
        <v>0</v>
      </c>
      <c r="G191" s="44">
        <f>SUMIFS(TRANSACTION!D:D,TRANSACTION!C:C,Table1[[#This Row],[DESCRIPTION2]])</f>
        <v>140</v>
      </c>
      <c r="H191">
        <f>SUMIFS(TRANSACTION!$E:$E,TRANSACTION!$C:$C,Table1[[#This Row],[DESCRIPTION2]])</f>
        <v>60</v>
      </c>
      <c r="I191" s="42">
        <f>Table1[[#This Row],[OPENING]]+Table1[[#This Row],[RECEIPT]]-Table1[[#This Row],[ISSUANCE]]</f>
        <v>80</v>
      </c>
    </row>
    <row r="192" spans="1:9" x14ac:dyDescent="0.25">
      <c r="A192" s="35">
        <f>IF(Table1[[#This Row],[DESCRIPTION2]]="","",A191+1)</f>
        <v>191</v>
      </c>
      <c r="B192" t="s">
        <v>434</v>
      </c>
      <c r="C192" s="46" t="s">
        <v>435</v>
      </c>
      <c r="D192" s="36" t="s">
        <v>181</v>
      </c>
      <c r="E192" s="36" t="s">
        <v>393</v>
      </c>
      <c r="F192" s="50">
        <v>0</v>
      </c>
      <c r="G192" s="44">
        <f>SUMIFS(TRANSACTION!D:D,TRANSACTION!C:C,Table1[[#This Row],[DESCRIPTION2]])</f>
        <v>72</v>
      </c>
      <c r="H192">
        <f>SUMIFS(TRANSACTION!$E:$E,TRANSACTION!$C:$C,Table1[[#This Row],[DESCRIPTION2]])</f>
        <v>42</v>
      </c>
      <c r="I192" s="42">
        <f>Table1[[#This Row],[OPENING]]+Table1[[#This Row],[RECEIPT]]-Table1[[#This Row],[ISSUANCE]]</f>
        <v>30</v>
      </c>
    </row>
    <row r="193" spans="1:9" x14ac:dyDescent="0.25">
      <c r="A193" s="35">
        <f>IF(Table1[[#This Row],[DESCRIPTION2]]="","",A192+1)</f>
        <v>192</v>
      </c>
      <c r="B193" t="s">
        <v>437</v>
      </c>
      <c r="C193" t="s">
        <v>369</v>
      </c>
      <c r="D193" t="s">
        <v>260</v>
      </c>
      <c r="E193" t="s">
        <v>393</v>
      </c>
      <c r="F193" s="50">
        <v>0</v>
      </c>
      <c r="G193" s="44">
        <f>SUMIFS(TRANSACTION!D:D,TRANSACTION!C:C,Table1[[#This Row],[DESCRIPTION2]])</f>
        <v>10</v>
      </c>
      <c r="H193">
        <f>SUMIFS(TRANSACTION!$E:$E,TRANSACTION!$C:$C,Table1[[#This Row],[DESCRIPTION2]])</f>
        <v>10</v>
      </c>
      <c r="I193" s="42">
        <f>Table1[[#This Row],[OPENING]]+Table1[[#This Row],[RECEIPT]]-Table1[[#This Row],[ISSUANCE]]</f>
        <v>0</v>
      </c>
    </row>
    <row r="194" spans="1:9" x14ac:dyDescent="0.25">
      <c r="A194" s="35">
        <f>IF(Table1[[#This Row],[DESCRIPTION2]]="","",A193+1)</f>
        <v>193</v>
      </c>
      <c r="B194" t="s">
        <v>438</v>
      </c>
      <c r="C194" t="s">
        <v>341</v>
      </c>
      <c r="D194" t="s">
        <v>181</v>
      </c>
      <c r="E194" t="s">
        <v>393</v>
      </c>
      <c r="F194" s="50">
        <v>0</v>
      </c>
      <c r="G194" s="44">
        <f>SUMIFS(TRANSACTION!D:D,TRANSACTION!C:C,Table1[[#This Row],[DESCRIPTION2]])</f>
        <v>12</v>
      </c>
      <c r="H194">
        <f>SUMIFS(TRANSACTION!$E:$E,TRANSACTION!$C:$C,Table1[[#This Row],[DESCRIPTION2]])</f>
        <v>12</v>
      </c>
      <c r="I194" s="42">
        <f>Table1[[#This Row],[OPENING]]+Table1[[#This Row],[RECEIPT]]-Table1[[#This Row],[ISSUANCE]]</f>
        <v>0</v>
      </c>
    </row>
    <row r="195" spans="1:9" x14ac:dyDescent="0.25">
      <c r="A195" s="35">
        <f>IF(Table1[[#This Row],[DESCRIPTION2]]="","",A194+1)</f>
        <v>194</v>
      </c>
      <c r="B195" t="s">
        <v>439</v>
      </c>
      <c r="C195" t="s">
        <v>342</v>
      </c>
      <c r="D195" t="s">
        <v>181</v>
      </c>
      <c r="E195" t="s">
        <v>393</v>
      </c>
      <c r="F195" s="50">
        <v>0</v>
      </c>
      <c r="G195" s="44">
        <f>SUMIFS(TRANSACTION!D:D,TRANSACTION!C:C,Table1[[#This Row],[DESCRIPTION2]])</f>
        <v>12</v>
      </c>
      <c r="H195">
        <f>SUMIFS(TRANSACTION!$E:$E,TRANSACTION!$C:$C,Table1[[#This Row],[DESCRIPTION2]])</f>
        <v>12</v>
      </c>
      <c r="I195" s="42">
        <f>Table1[[#This Row],[OPENING]]+Table1[[#This Row],[RECEIPT]]-Table1[[#This Row],[ISSUANCE]]</f>
        <v>0</v>
      </c>
    </row>
    <row r="196" spans="1:9" x14ac:dyDescent="0.25">
      <c r="A196" s="35">
        <f>IF(Table1[[#This Row],[DESCRIPTION2]]="","",A195+1)</f>
        <v>195</v>
      </c>
      <c r="B196" t="s">
        <v>440</v>
      </c>
      <c r="C196" t="s">
        <v>447</v>
      </c>
      <c r="D196" t="s">
        <v>181</v>
      </c>
      <c r="E196" t="s">
        <v>393</v>
      </c>
      <c r="F196" s="50">
        <v>0</v>
      </c>
      <c r="G196" s="44">
        <f>SUMIFS(TRANSACTION!D:D,TRANSACTION!C:C,Table1[[#This Row],[DESCRIPTION2]])</f>
        <v>10</v>
      </c>
      <c r="H196">
        <f>SUMIFS(TRANSACTION!$E:$E,TRANSACTION!$C:$C,Table1[[#This Row],[DESCRIPTION2]])</f>
        <v>10</v>
      </c>
      <c r="I196" s="42">
        <f>Table1[[#This Row],[OPENING]]+Table1[[#This Row],[RECEIPT]]-Table1[[#This Row],[ISSUANCE]]</f>
        <v>0</v>
      </c>
    </row>
    <row r="197" spans="1:9" x14ac:dyDescent="0.25">
      <c r="A197" s="35">
        <f>IF(Table1[[#This Row],[DESCRIPTION2]]="","",A196+1)</f>
        <v>196</v>
      </c>
      <c r="B197" t="s">
        <v>532</v>
      </c>
      <c r="C197" t="s">
        <v>309</v>
      </c>
      <c r="D197" t="s">
        <v>260</v>
      </c>
      <c r="E197" t="s">
        <v>393</v>
      </c>
      <c r="F197" s="50">
        <v>0</v>
      </c>
      <c r="G197" s="44">
        <f>SUMIFS(TRANSACTION!D:D,TRANSACTION!C:C,Table1[[#This Row],[DESCRIPTION2]])</f>
        <v>10</v>
      </c>
      <c r="H197">
        <f>SUMIFS(TRANSACTION!$E:$E,TRANSACTION!$C:$C,Table1[[#This Row],[DESCRIPTION2]])</f>
        <v>10</v>
      </c>
      <c r="I197" s="42">
        <f>Table1[[#This Row],[OPENING]]+Table1[[#This Row],[RECEIPT]]-Table1[[#This Row],[ISSUANCE]]</f>
        <v>0</v>
      </c>
    </row>
    <row r="198" spans="1:9" x14ac:dyDescent="0.25">
      <c r="A198" s="35">
        <f>IF(Table1[[#This Row],[DESCRIPTION2]]="","",A197+1)</f>
        <v>197</v>
      </c>
      <c r="B198" t="s">
        <v>441</v>
      </c>
      <c r="C198" t="s">
        <v>371</v>
      </c>
      <c r="D198" t="s">
        <v>260</v>
      </c>
      <c r="E198" t="s">
        <v>393</v>
      </c>
      <c r="F198" s="50">
        <v>0</v>
      </c>
      <c r="G198" s="44">
        <f>SUMIFS(TRANSACTION!D:D,TRANSACTION!C:C,Table1[[#This Row],[DESCRIPTION2]])</f>
        <v>3</v>
      </c>
      <c r="H198">
        <f>SUMIFS(TRANSACTION!$E:$E,TRANSACTION!$C:$C,Table1[[#This Row],[DESCRIPTION2]])</f>
        <v>3</v>
      </c>
      <c r="I198" s="42">
        <f>Table1[[#This Row],[OPENING]]+Table1[[#This Row],[RECEIPT]]-Table1[[#This Row],[ISSUANCE]]</f>
        <v>0</v>
      </c>
    </row>
    <row r="199" spans="1:9" x14ac:dyDescent="0.25">
      <c r="A199" s="35">
        <f>IF(Table1[[#This Row],[DESCRIPTION2]]="","",A198+1)</f>
        <v>198</v>
      </c>
      <c r="B199" t="s">
        <v>442</v>
      </c>
      <c r="C199" t="s">
        <v>371</v>
      </c>
      <c r="D199" t="s">
        <v>294</v>
      </c>
      <c r="E199" t="s">
        <v>393</v>
      </c>
      <c r="F199" s="50">
        <v>0</v>
      </c>
      <c r="G199" s="44">
        <f>SUMIFS(TRANSACTION!D:D,TRANSACTION!C:C,Table1[[#This Row],[DESCRIPTION2]])</f>
        <v>5</v>
      </c>
      <c r="H199">
        <f>SUMIFS(TRANSACTION!$E:$E,TRANSACTION!$C:$C,Table1[[#This Row],[DESCRIPTION2]])</f>
        <v>0</v>
      </c>
      <c r="I199" s="42">
        <f>Table1[[#This Row],[OPENING]]+Table1[[#This Row],[RECEIPT]]-Table1[[#This Row],[ISSUANCE]]</f>
        <v>5</v>
      </c>
    </row>
    <row r="200" spans="1:9" x14ac:dyDescent="0.25">
      <c r="A200" s="35">
        <f>IF(Table1[[#This Row],[DESCRIPTION2]]="","",A199+1)</f>
        <v>199</v>
      </c>
      <c r="B200" t="s">
        <v>443</v>
      </c>
      <c r="C200" t="s">
        <v>444</v>
      </c>
      <c r="D200" t="s">
        <v>181</v>
      </c>
      <c r="E200" t="s">
        <v>393</v>
      </c>
      <c r="F200" s="50">
        <v>0</v>
      </c>
      <c r="G200" s="44">
        <f>SUMIFS(TRANSACTION!D:D,TRANSACTION!C:C,Table1[[#This Row],[DESCRIPTION2]])</f>
        <v>205</v>
      </c>
      <c r="H200">
        <f>SUMIFS(TRANSACTION!$E:$E,TRANSACTION!$C:$C,Table1[[#This Row],[DESCRIPTION2]])</f>
        <v>181</v>
      </c>
      <c r="I200" s="42">
        <f>Table1[[#This Row],[OPENING]]+Table1[[#This Row],[RECEIPT]]-Table1[[#This Row],[ISSUANCE]]</f>
        <v>24</v>
      </c>
    </row>
    <row r="201" spans="1:9" x14ac:dyDescent="0.25">
      <c r="A201" s="35">
        <f>IF(Table1[[#This Row],[DESCRIPTION2]]="","",A200+1)</f>
        <v>200</v>
      </c>
      <c r="B201" t="s">
        <v>445</v>
      </c>
      <c r="C201" t="s">
        <v>446</v>
      </c>
      <c r="D201" t="s">
        <v>181</v>
      </c>
      <c r="E201" t="s">
        <v>393</v>
      </c>
      <c r="F201" s="50">
        <v>0</v>
      </c>
      <c r="G201" s="44">
        <f>SUMIFS(TRANSACTION!D:D,TRANSACTION!C:C,Table1[[#This Row],[DESCRIPTION2]])</f>
        <v>295</v>
      </c>
      <c r="H201">
        <f>SUMIFS(TRANSACTION!$E:$E,TRANSACTION!$C:$C,Table1[[#This Row],[DESCRIPTION2]])</f>
        <v>255</v>
      </c>
      <c r="I201" s="42">
        <f>Table1[[#This Row],[OPENING]]+Table1[[#This Row],[RECEIPT]]-Table1[[#This Row],[ISSUANCE]]</f>
        <v>40</v>
      </c>
    </row>
    <row r="202" spans="1:9" x14ac:dyDescent="0.25">
      <c r="A202" s="35">
        <f>IF(Table1[[#This Row],[DESCRIPTION2]]="","",A201+1)</f>
        <v>201</v>
      </c>
      <c r="B202" t="s">
        <v>448</v>
      </c>
      <c r="C202" t="s">
        <v>449</v>
      </c>
      <c r="D202" t="s">
        <v>294</v>
      </c>
      <c r="E202" t="s">
        <v>393</v>
      </c>
      <c r="F202" s="50">
        <v>0</v>
      </c>
      <c r="G202" s="44">
        <f>SUMIFS(TRANSACTION!D:D,TRANSACTION!C:C,Table1[[#This Row],[DESCRIPTION2]])</f>
        <v>5</v>
      </c>
      <c r="H202">
        <f>SUMIFS(TRANSACTION!$E:$E,TRANSACTION!$C:$C,Table1[[#This Row],[DESCRIPTION2]])</f>
        <v>5</v>
      </c>
      <c r="I202" s="42">
        <f>Table1[[#This Row],[OPENING]]+Table1[[#This Row],[RECEIPT]]-Table1[[#This Row],[ISSUANCE]]</f>
        <v>0</v>
      </c>
    </row>
    <row r="203" spans="1:9" x14ac:dyDescent="0.25">
      <c r="A203" s="35">
        <f>IF(Table1[[#This Row],[DESCRIPTION2]]="","",A202+1)</f>
        <v>202</v>
      </c>
      <c r="B203" t="s">
        <v>452</v>
      </c>
      <c r="C203" t="s">
        <v>453</v>
      </c>
      <c r="D203" t="s">
        <v>156</v>
      </c>
      <c r="E203" t="s">
        <v>393</v>
      </c>
      <c r="F203" s="50">
        <v>0</v>
      </c>
      <c r="G203" s="44">
        <f>SUMIFS(TRANSACTION!D:D,TRANSACTION!C:C,Table1[[#This Row],[DESCRIPTION2]])</f>
        <v>240</v>
      </c>
      <c r="H203">
        <f>SUMIFS(TRANSACTION!$E:$E,TRANSACTION!$C:$C,Table1[[#This Row],[DESCRIPTION2]])</f>
        <v>137</v>
      </c>
      <c r="I203" s="42">
        <f>Table1[[#This Row],[OPENING]]+Table1[[#This Row],[RECEIPT]]-Table1[[#This Row],[ISSUANCE]]</f>
        <v>103</v>
      </c>
    </row>
    <row r="204" spans="1:9" x14ac:dyDescent="0.25">
      <c r="A204" s="35">
        <f>IF(Table1[[#This Row],[DESCRIPTION2]]="","",A203+1)</f>
        <v>203</v>
      </c>
      <c r="B204" t="s">
        <v>454</v>
      </c>
      <c r="C204" t="s">
        <v>455</v>
      </c>
      <c r="D204" t="s">
        <v>156</v>
      </c>
      <c r="E204" t="s">
        <v>393</v>
      </c>
      <c r="F204" s="50">
        <v>0</v>
      </c>
      <c r="G204" s="44">
        <f>SUMIFS(TRANSACTION!D:D,TRANSACTION!C:C,Table1[[#This Row],[DESCRIPTION2]])</f>
        <v>10</v>
      </c>
      <c r="H204">
        <f>SUMIFS(TRANSACTION!$E:$E,TRANSACTION!$C:$C,Table1[[#This Row],[DESCRIPTION2]])</f>
        <v>10</v>
      </c>
      <c r="I204" s="42">
        <f>Table1[[#This Row],[OPENING]]+Table1[[#This Row],[RECEIPT]]-Table1[[#This Row],[ISSUANCE]]</f>
        <v>0</v>
      </c>
    </row>
    <row r="205" spans="1:9" x14ac:dyDescent="0.25">
      <c r="A205" s="35">
        <f>IF(Table1[[#This Row],[DESCRIPTION2]]="","",A204+1)</f>
        <v>204</v>
      </c>
      <c r="B205" t="s">
        <v>456</v>
      </c>
      <c r="C205" t="s">
        <v>457</v>
      </c>
      <c r="D205" t="s">
        <v>156</v>
      </c>
      <c r="E205" t="s">
        <v>393</v>
      </c>
      <c r="F205" s="50">
        <v>0</v>
      </c>
      <c r="G205" s="44">
        <f>SUMIFS(TRANSACTION!D:D,TRANSACTION!C:C,Table1[[#This Row],[DESCRIPTION2]])</f>
        <v>10</v>
      </c>
      <c r="H205">
        <f>SUMIFS(TRANSACTION!$E:$E,TRANSACTION!$C:$C,Table1[[#This Row],[DESCRIPTION2]])</f>
        <v>10</v>
      </c>
      <c r="I205" s="42">
        <f>Table1[[#This Row],[OPENING]]+Table1[[#This Row],[RECEIPT]]-Table1[[#This Row],[ISSUANCE]]</f>
        <v>0</v>
      </c>
    </row>
    <row r="206" spans="1:9" x14ac:dyDescent="0.25">
      <c r="A206" s="35">
        <f>IF(Table1[[#This Row],[DESCRIPTION2]]="","",A205+1)</f>
        <v>205</v>
      </c>
      <c r="B206" t="s">
        <v>483</v>
      </c>
      <c r="C206" s="46" t="s">
        <v>459</v>
      </c>
      <c r="D206" t="s">
        <v>181</v>
      </c>
      <c r="E206" t="s">
        <v>393</v>
      </c>
      <c r="F206" s="50">
        <v>0</v>
      </c>
      <c r="G206" s="44">
        <f>SUMIFS(TRANSACTION!D:D,TRANSACTION!C:C,Table1[[#This Row],[DESCRIPTION2]])</f>
        <v>10</v>
      </c>
      <c r="H206">
        <f>SUMIFS(TRANSACTION!$E:$E,TRANSACTION!$C:$C,Table1[[#This Row],[DESCRIPTION2]])</f>
        <v>10</v>
      </c>
      <c r="I206" s="42">
        <f>Table1[[#This Row],[OPENING]]+Table1[[#This Row],[RECEIPT]]-Table1[[#This Row],[ISSUANCE]]</f>
        <v>0</v>
      </c>
    </row>
    <row r="207" spans="1:9" x14ac:dyDescent="0.25">
      <c r="A207" s="35">
        <f>IF(Table1[[#This Row],[DESCRIPTION2]]="","",A206+1)</f>
        <v>206</v>
      </c>
      <c r="B207" t="s">
        <v>458</v>
      </c>
      <c r="C207" s="36" t="s">
        <v>359</v>
      </c>
      <c r="D207" s="36" t="s">
        <v>181</v>
      </c>
      <c r="E207" s="36" t="s">
        <v>393</v>
      </c>
      <c r="F207" s="50">
        <v>0</v>
      </c>
      <c r="G207" s="44">
        <f>SUMIFS(TRANSACTION!D:D,TRANSACTION!C:C,Table1[[#This Row],[DESCRIPTION2]])</f>
        <v>10</v>
      </c>
      <c r="H207">
        <f>SUMIFS(TRANSACTION!$E:$E,TRANSACTION!$C:$C,Table1[[#This Row],[DESCRIPTION2]])</f>
        <v>10</v>
      </c>
      <c r="I207" s="42">
        <f>Table1[[#This Row],[OPENING]]+Table1[[#This Row],[RECEIPT]]-Table1[[#This Row],[ISSUANCE]]</f>
        <v>0</v>
      </c>
    </row>
    <row r="208" spans="1:9" x14ac:dyDescent="0.25">
      <c r="A208" s="35">
        <f>IF(Table1[[#This Row],[DESCRIPTION2]]="","",A207+1)</f>
        <v>207</v>
      </c>
      <c r="B208" t="s">
        <v>461</v>
      </c>
      <c r="C208" t="s">
        <v>461</v>
      </c>
      <c r="D208" t="s">
        <v>181</v>
      </c>
      <c r="E208" t="s">
        <v>393</v>
      </c>
      <c r="F208" s="50">
        <v>0</v>
      </c>
      <c r="G208" s="44">
        <f>SUMIFS(TRANSACTION!D:D,TRANSACTION!C:C,Table1[[#This Row],[DESCRIPTION2]])</f>
        <v>10</v>
      </c>
      <c r="H208">
        <f>SUMIFS(TRANSACTION!$E:$E,TRANSACTION!$C:$C,Table1[[#This Row],[DESCRIPTION2]])</f>
        <v>1</v>
      </c>
      <c r="I208" s="42">
        <f>Table1[[#This Row],[OPENING]]+Table1[[#This Row],[RECEIPT]]-Table1[[#This Row],[ISSUANCE]]</f>
        <v>9</v>
      </c>
    </row>
    <row r="209" spans="1:9" x14ac:dyDescent="0.25">
      <c r="A209" s="35">
        <f>IF(Table1[[#This Row],[DESCRIPTION2]]="","",A208+1)</f>
        <v>208</v>
      </c>
      <c r="B209" t="s">
        <v>465</v>
      </c>
      <c r="C209" s="46" t="s">
        <v>474</v>
      </c>
      <c r="D209" t="s">
        <v>109</v>
      </c>
      <c r="E209" t="s">
        <v>393</v>
      </c>
      <c r="F209" s="50">
        <v>0</v>
      </c>
      <c r="G209" s="44">
        <f>SUMIFS(TRANSACTION!D:D,TRANSACTION!C:C,Table1[[#This Row],[DESCRIPTION2]])</f>
        <v>200</v>
      </c>
      <c r="H209">
        <f>SUMIFS(TRANSACTION!$E:$E,TRANSACTION!$C:$C,Table1[[#This Row],[DESCRIPTION2]])</f>
        <v>160</v>
      </c>
      <c r="I209" s="45">
        <f>Table1[[#This Row],[OPENING]]+Table1[[#This Row],[RECEIPT]]-Table1[[#This Row],[ISSUANCE]]</f>
        <v>40</v>
      </c>
    </row>
    <row r="210" spans="1:9" x14ac:dyDescent="0.25">
      <c r="A210" s="35">
        <f>IF(Table1[[#This Row],[DESCRIPTION2]]="","",A209+1)</f>
        <v>209</v>
      </c>
      <c r="B210" t="s">
        <v>466</v>
      </c>
      <c r="C210" s="46" t="s">
        <v>475</v>
      </c>
      <c r="D210" t="s">
        <v>109</v>
      </c>
      <c r="E210" t="s">
        <v>393</v>
      </c>
      <c r="F210" s="50">
        <v>0</v>
      </c>
      <c r="G210" s="44">
        <f>SUMIFS(TRANSACTION!D:D,TRANSACTION!C:C,Table1[[#This Row],[DESCRIPTION2]])</f>
        <v>74</v>
      </c>
      <c r="H210">
        <f>SUMIFS(TRANSACTION!$E:$E,TRANSACTION!$C:$C,Table1[[#This Row],[DESCRIPTION2]])</f>
        <v>24</v>
      </c>
      <c r="I210" s="45">
        <f>Table1[[#This Row],[OPENING]]+Table1[[#This Row],[RECEIPT]]-Table1[[#This Row],[ISSUANCE]]</f>
        <v>50</v>
      </c>
    </row>
    <row r="211" spans="1:9" x14ac:dyDescent="0.25">
      <c r="A211" s="35">
        <f>IF(Table1[[#This Row],[DESCRIPTION2]]="","",A210+1)</f>
        <v>210</v>
      </c>
      <c r="B211" t="s">
        <v>467</v>
      </c>
      <c r="C211" s="46" t="s">
        <v>476</v>
      </c>
      <c r="D211" t="s">
        <v>109</v>
      </c>
      <c r="E211" t="s">
        <v>393</v>
      </c>
      <c r="F211" s="50">
        <v>0</v>
      </c>
      <c r="G211" s="44">
        <f>SUMIFS(TRANSACTION!D:D,TRANSACTION!C:C,Table1[[#This Row],[DESCRIPTION2]])</f>
        <v>74</v>
      </c>
      <c r="H211">
        <f>SUMIFS(TRANSACTION!$E:$E,TRANSACTION!$C:$C,Table1[[#This Row],[DESCRIPTION2]])</f>
        <v>10</v>
      </c>
      <c r="I211" s="45">
        <f>Table1[[#This Row],[OPENING]]+Table1[[#This Row],[RECEIPT]]-Table1[[#This Row],[ISSUANCE]]</f>
        <v>64</v>
      </c>
    </row>
    <row r="212" spans="1:9" x14ac:dyDescent="0.25">
      <c r="A212" s="35">
        <f>IF(Table1[[#This Row],[DESCRIPTION2]]="","",A211+1)</f>
        <v>211</v>
      </c>
      <c r="B212" t="s">
        <v>468</v>
      </c>
      <c r="C212" s="46" t="s">
        <v>477</v>
      </c>
      <c r="D212" t="s">
        <v>109</v>
      </c>
      <c r="E212" t="s">
        <v>393</v>
      </c>
      <c r="F212" s="50">
        <v>0</v>
      </c>
      <c r="G212" s="44">
        <f>SUMIFS(TRANSACTION!D:D,TRANSACTION!C:C,Table1[[#This Row],[DESCRIPTION2]])</f>
        <v>203</v>
      </c>
      <c r="H212">
        <f>SUMIFS(TRANSACTION!$E:$E,TRANSACTION!$C:$C,Table1[[#This Row],[DESCRIPTION2]])</f>
        <v>163</v>
      </c>
      <c r="I212" s="45">
        <f>Table1[[#This Row],[OPENING]]+Table1[[#This Row],[RECEIPT]]-Table1[[#This Row],[ISSUANCE]]</f>
        <v>40</v>
      </c>
    </row>
    <row r="213" spans="1:9" x14ac:dyDescent="0.25">
      <c r="A213" s="35">
        <f>IF(Table1[[#This Row],[DESCRIPTION2]]="","",A212+1)</f>
        <v>212</v>
      </c>
      <c r="B213" t="s">
        <v>473</v>
      </c>
      <c r="C213" s="46" t="s">
        <v>478</v>
      </c>
      <c r="D213" t="s">
        <v>109</v>
      </c>
      <c r="E213" t="s">
        <v>393</v>
      </c>
      <c r="F213" s="50">
        <v>0</v>
      </c>
      <c r="G213" s="44">
        <f>SUMIFS(TRANSACTION!D:D,TRANSACTION!C:C,Table1[[#This Row],[DESCRIPTION2]])</f>
        <v>60</v>
      </c>
      <c r="H213">
        <f>SUMIFS(TRANSACTION!$E:$E,TRANSACTION!$C:$C,Table1[[#This Row],[DESCRIPTION2]])</f>
        <v>18</v>
      </c>
      <c r="I213" s="45">
        <f>Table1[[#This Row],[OPENING]]+Table1[[#This Row],[RECEIPT]]-Table1[[#This Row],[ISSUANCE]]</f>
        <v>42</v>
      </c>
    </row>
    <row r="214" spans="1:9" x14ac:dyDescent="0.25">
      <c r="A214" s="35">
        <f>IF(Table1[[#This Row],[DESCRIPTION2]]="","",A213+1)</f>
        <v>213</v>
      </c>
      <c r="B214" t="s">
        <v>469</v>
      </c>
      <c r="C214" s="36" t="s">
        <v>309</v>
      </c>
      <c r="D214" t="s">
        <v>156</v>
      </c>
      <c r="E214" t="s">
        <v>393</v>
      </c>
      <c r="F214" s="50">
        <v>0</v>
      </c>
      <c r="G214" s="44">
        <f>SUMIFS(TRANSACTION!D:D,TRANSACTION!C:C,Table1[[#This Row],[DESCRIPTION2]])</f>
        <v>66</v>
      </c>
      <c r="H214">
        <f>SUMIFS(TRANSACTION!$E:$E,TRANSACTION!$C:$C,Table1[[#This Row],[DESCRIPTION2]])</f>
        <v>47</v>
      </c>
      <c r="I214" s="45">
        <f>Table1[[#This Row],[OPENING]]+Table1[[#This Row],[RECEIPT]]-Table1[[#This Row],[ISSUANCE]]</f>
        <v>19</v>
      </c>
    </row>
    <row r="215" spans="1:9" x14ac:dyDescent="0.25">
      <c r="A215" s="35">
        <f>IF(Table1[[#This Row],[DESCRIPTION2]]="","",A214+1)</f>
        <v>214</v>
      </c>
      <c r="B215" t="s">
        <v>470</v>
      </c>
      <c r="C215" s="36" t="s">
        <v>309</v>
      </c>
      <c r="D215" t="s">
        <v>156</v>
      </c>
      <c r="E215" t="s">
        <v>393</v>
      </c>
      <c r="F215" s="50">
        <v>0</v>
      </c>
      <c r="G215" s="44">
        <f>SUMIFS(TRANSACTION!D:D,TRANSACTION!C:C,Table1[[#This Row],[DESCRIPTION2]])</f>
        <v>106</v>
      </c>
      <c r="H215">
        <f>SUMIFS(TRANSACTION!$E:$E,TRANSACTION!$C:$C,Table1[[#This Row],[DESCRIPTION2]])</f>
        <v>70</v>
      </c>
      <c r="I215" s="45">
        <f>Table1[[#This Row],[OPENING]]+Table1[[#This Row],[RECEIPT]]-Table1[[#This Row],[ISSUANCE]]</f>
        <v>36</v>
      </c>
    </row>
    <row r="216" spans="1:9" x14ac:dyDescent="0.25">
      <c r="A216" s="35">
        <f>IF(Table1[[#This Row],[DESCRIPTION2]]="","",A215+1)</f>
        <v>215</v>
      </c>
      <c r="B216" t="s">
        <v>471</v>
      </c>
      <c r="C216" s="36" t="s">
        <v>479</v>
      </c>
      <c r="D216" t="s">
        <v>260</v>
      </c>
      <c r="E216" t="s">
        <v>393</v>
      </c>
      <c r="F216" s="50">
        <v>0</v>
      </c>
      <c r="G216" s="44">
        <f>SUMIFS(TRANSACTION!D:D,TRANSACTION!C:C,Table1[[#This Row],[DESCRIPTION2]])</f>
        <v>130</v>
      </c>
      <c r="H216">
        <f>SUMIFS(TRANSACTION!$E:$E,TRANSACTION!$C:$C,Table1[[#This Row],[DESCRIPTION2]])</f>
        <v>105</v>
      </c>
      <c r="I216" s="45">
        <f>Table1[[#This Row],[OPENING]]+Table1[[#This Row],[RECEIPT]]-Table1[[#This Row],[ISSUANCE]]</f>
        <v>25</v>
      </c>
    </row>
    <row r="217" spans="1:9" x14ac:dyDescent="0.25">
      <c r="A217" s="35">
        <f>IF(Table1[[#This Row],[DESCRIPTION2]]="","",A216+1)</f>
        <v>216</v>
      </c>
      <c r="B217" t="s">
        <v>472</v>
      </c>
      <c r="C217" t="s">
        <v>334</v>
      </c>
      <c r="D217" t="s">
        <v>181</v>
      </c>
      <c r="E217" t="s">
        <v>393</v>
      </c>
      <c r="F217" s="50">
        <v>0</v>
      </c>
      <c r="G217" s="44">
        <f>SUMIFS(TRANSACTION!D:D,TRANSACTION!C:C,Table1[[#This Row],[DESCRIPTION2]])</f>
        <v>350</v>
      </c>
      <c r="H217">
        <f>SUMIFS(TRANSACTION!$E:$E,TRANSACTION!$C:$C,Table1[[#This Row],[DESCRIPTION2]])</f>
        <v>190</v>
      </c>
      <c r="I217" s="45">
        <f>Table1[[#This Row],[OPENING]]+Table1[[#This Row],[RECEIPT]]-Table1[[#This Row],[ISSUANCE]]</f>
        <v>160</v>
      </c>
    </row>
    <row r="218" spans="1:9" x14ac:dyDescent="0.25">
      <c r="A218" s="35">
        <f>IF(Table1[[#This Row],[DESCRIPTION2]]="","",A217+1)</f>
        <v>217</v>
      </c>
      <c r="B218" s="36" t="s">
        <v>480</v>
      </c>
      <c r="C218" s="37" t="s">
        <v>322</v>
      </c>
      <c r="D218" s="37" t="s">
        <v>161</v>
      </c>
      <c r="E218" s="37" t="s">
        <v>393</v>
      </c>
      <c r="F218" s="50">
        <v>0</v>
      </c>
      <c r="G218" s="44">
        <f>SUMIFS(TRANSACTION!D:D,TRANSACTION!C:C,Table1[[#This Row],[DESCRIPTION2]])</f>
        <v>40</v>
      </c>
      <c r="H218">
        <f>SUMIFS(TRANSACTION!$E:$E,TRANSACTION!$C:$C,Table1[[#This Row],[DESCRIPTION2]])</f>
        <v>40</v>
      </c>
      <c r="I218" s="42">
        <f>Table1[[#This Row],[OPENING]]+Table1[[#This Row],[RECEIPT]]-Table1[[#This Row],[ISSUANCE]]</f>
        <v>0</v>
      </c>
    </row>
    <row r="219" spans="1:9" x14ac:dyDescent="0.25">
      <c r="A219" s="35">
        <f>IF(Table1[[#This Row],[DESCRIPTION2]]="","",A218+1)</f>
        <v>218</v>
      </c>
      <c r="B219" t="s">
        <v>484</v>
      </c>
      <c r="C219" t="s">
        <v>485</v>
      </c>
      <c r="D219" t="s">
        <v>156</v>
      </c>
      <c r="E219" t="s">
        <v>393</v>
      </c>
      <c r="F219" s="50">
        <v>0</v>
      </c>
      <c r="G219" s="44">
        <f>SUMIFS(TRANSACTION!D:D,TRANSACTION!C:C,Table1[[#This Row],[DESCRIPTION2]])</f>
        <v>10</v>
      </c>
      <c r="H219">
        <f>SUMIFS(TRANSACTION!$E:$E,TRANSACTION!$C:$C,Table1[[#This Row],[DESCRIPTION2]])</f>
        <v>10</v>
      </c>
      <c r="I219" s="42">
        <f>Table1[[#This Row],[OPENING]]+Table1[[#This Row],[RECEIPT]]-Table1[[#This Row],[ISSUANCE]]</f>
        <v>0</v>
      </c>
    </row>
    <row r="220" spans="1:9" x14ac:dyDescent="0.25">
      <c r="A220" s="35">
        <f>IF(Table1[[#This Row],[DESCRIPTION2]]="","",A219+1)</f>
        <v>219</v>
      </c>
      <c r="B220" t="s">
        <v>486</v>
      </c>
      <c r="C220" t="s">
        <v>487</v>
      </c>
      <c r="D220" t="s">
        <v>260</v>
      </c>
      <c r="E220" t="s">
        <v>393</v>
      </c>
      <c r="F220" s="50">
        <v>0</v>
      </c>
      <c r="G220" s="44">
        <f>SUMIFS(TRANSACTION!D:D,TRANSACTION!C:C,Table1[[#This Row],[DESCRIPTION2]])</f>
        <v>11</v>
      </c>
      <c r="H220">
        <f>SUMIFS(TRANSACTION!$E:$E,TRANSACTION!$C:$C,Table1[[#This Row],[DESCRIPTION2]])</f>
        <v>7</v>
      </c>
      <c r="I220" s="42">
        <f>Table1[[#This Row],[OPENING]]+Table1[[#This Row],[RECEIPT]]-Table1[[#This Row],[ISSUANCE]]</f>
        <v>4</v>
      </c>
    </row>
    <row r="221" spans="1:9" x14ac:dyDescent="0.25">
      <c r="A221" s="35">
        <f>IF(Table1[[#This Row],[DESCRIPTION2]]="","",A220+1)</f>
        <v>220</v>
      </c>
      <c r="B221" t="s">
        <v>488</v>
      </c>
      <c r="C221" t="s">
        <v>323</v>
      </c>
      <c r="D221" t="s">
        <v>181</v>
      </c>
      <c r="E221" t="s">
        <v>393</v>
      </c>
      <c r="F221" s="50">
        <v>0</v>
      </c>
      <c r="G221" s="44">
        <f>SUMIFS(TRANSACTION!D:D,TRANSACTION!C:C,Table1[[#This Row],[DESCRIPTION2]])</f>
        <v>46</v>
      </c>
      <c r="H221">
        <f>SUMIFS(TRANSACTION!$E:$E,TRANSACTION!$C:$C,Table1[[#This Row],[DESCRIPTION2]])</f>
        <v>31</v>
      </c>
      <c r="I221" s="42">
        <f>Table1[[#This Row],[OPENING]]+Table1[[#This Row],[RECEIPT]]-Table1[[#This Row],[ISSUANCE]]</f>
        <v>15</v>
      </c>
    </row>
    <row r="222" spans="1:9" x14ac:dyDescent="0.25">
      <c r="A222" s="35">
        <f>IF(Table1[[#This Row],[DESCRIPTION2]]="","",A221+1)</f>
        <v>221</v>
      </c>
      <c r="B222" t="s">
        <v>489</v>
      </c>
      <c r="C222" t="s">
        <v>323</v>
      </c>
      <c r="D222" t="s">
        <v>181</v>
      </c>
      <c r="E222" t="s">
        <v>393</v>
      </c>
      <c r="F222" s="50">
        <v>0</v>
      </c>
      <c r="G222" s="44">
        <f>SUMIFS(TRANSACTION!D:D,TRANSACTION!C:C,Table1[[#This Row],[DESCRIPTION2]])</f>
        <v>220</v>
      </c>
      <c r="H222">
        <f>SUMIFS(TRANSACTION!$E:$E,TRANSACTION!$C:$C,Table1[[#This Row],[DESCRIPTION2]])</f>
        <v>170</v>
      </c>
      <c r="I222" s="42">
        <f>Table1[[#This Row],[OPENING]]+Table1[[#This Row],[RECEIPT]]-Table1[[#This Row],[ISSUANCE]]</f>
        <v>50</v>
      </c>
    </row>
    <row r="223" spans="1:9" x14ac:dyDescent="0.25">
      <c r="A223" s="35">
        <f>IF(Table1[[#This Row],[DESCRIPTION2]]="","",A222+1)</f>
        <v>222</v>
      </c>
      <c r="B223" t="s">
        <v>533</v>
      </c>
      <c r="C223" t="s">
        <v>309</v>
      </c>
      <c r="D223" t="s">
        <v>260</v>
      </c>
      <c r="E223" t="s">
        <v>393</v>
      </c>
      <c r="F223" s="50">
        <v>0</v>
      </c>
      <c r="G223" s="44">
        <f>SUMIFS(TRANSACTION!D:D,TRANSACTION!C:C,Table1[[#This Row],[DESCRIPTION2]])</f>
        <v>60</v>
      </c>
      <c r="H223">
        <f>SUMIFS(TRANSACTION!$E:$E,TRANSACTION!$C:$C,Table1[[#This Row],[DESCRIPTION2]])</f>
        <v>30</v>
      </c>
      <c r="I223" s="42">
        <f>Table1[[#This Row],[OPENING]]+Table1[[#This Row],[RECEIPT]]-Table1[[#This Row],[ISSUANCE]]</f>
        <v>30</v>
      </c>
    </row>
    <row r="224" spans="1:9" x14ac:dyDescent="0.25">
      <c r="A224" s="35">
        <f>IF(Table1[[#This Row],[DESCRIPTION2]]="","",A223+1)</f>
        <v>223</v>
      </c>
      <c r="B224" t="s">
        <v>490</v>
      </c>
      <c r="C224" t="s">
        <v>342</v>
      </c>
      <c r="D224" t="s">
        <v>181</v>
      </c>
      <c r="E224" t="s">
        <v>393</v>
      </c>
      <c r="F224" s="50">
        <v>0</v>
      </c>
      <c r="G224" s="44">
        <f>SUMIFS(TRANSACTION!D:D,TRANSACTION!C:C,Table1[[#This Row],[DESCRIPTION2]])</f>
        <v>20</v>
      </c>
      <c r="H224">
        <f>SUMIFS(TRANSACTION!$E:$E,TRANSACTION!$C:$C,Table1[[#This Row],[DESCRIPTION2]])</f>
        <v>20</v>
      </c>
      <c r="I224" s="42">
        <f>Table1[[#This Row],[OPENING]]+Table1[[#This Row],[RECEIPT]]-Table1[[#This Row],[ISSUANCE]]</f>
        <v>0</v>
      </c>
    </row>
    <row r="225" spans="1:9" x14ac:dyDescent="0.25">
      <c r="A225" s="35">
        <f>IF(Table1[[#This Row],[DESCRIPTION2]]="","",A224+1)</f>
        <v>224</v>
      </c>
      <c r="B225" t="s">
        <v>491</v>
      </c>
      <c r="C225" t="s">
        <v>359</v>
      </c>
      <c r="D225" t="s">
        <v>181</v>
      </c>
      <c r="E225" t="s">
        <v>393</v>
      </c>
      <c r="F225" s="50">
        <v>0</v>
      </c>
      <c r="G225" s="44">
        <f>SUMIFS(TRANSACTION!D:D,TRANSACTION!C:C,Table1[[#This Row],[DESCRIPTION2]])</f>
        <v>170</v>
      </c>
      <c r="H225">
        <f>SUMIFS(TRANSACTION!$E:$E,TRANSACTION!$C:$C,Table1[[#This Row],[DESCRIPTION2]])</f>
        <v>125</v>
      </c>
      <c r="I225" s="42">
        <f>Table1[[#This Row],[OPENING]]+Table1[[#This Row],[RECEIPT]]-Table1[[#This Row],[ISSUANCE]]</f>
        <v>45</v>
      </c>
    </row>
    <row r="226" spans="1:9" x14ac:dyDescent="0.25">
      <c r="A226" s="35">
        <f>IF(Table1[[#This Row],[DESCRIPTION2]]="","",A225+1)</f>
        <v>225</v>
      </c>
      <c r="B226" t="s">
        <v>492</v>
      </c>
      <c r="C226" t="s">
        <v>305</v>
      </c>
      <c r="D226" t="s">
        <v>181</v>
      </c>
      <c r="E226" t="s">
        <v>393</v>
      </c>
      <c r="F226" s="50">
        <v>0</v>
      </c>
      <c r="G226" s="44">
        <f>SUMIFS(TRANSACTION!D:D,TRANSACTION!C:C,Table1[[#This Row],[DESCRIPTION2]])</f>
        <v>257</v>
      </c>
      <c r="H226">
        <f>SUMIFS(TRANSACTION!$E:$E,TRANSACTION!$C:$C,Table1[[#This Row],[DESCRIPTION2]])</f>
        <v>222</v>
      </c>
      <c r="I226" s="42">
        <f>Table1[[#This Row],[OPENING]]+Table1[[#This Row],[RECEIPT]]-Table1[[#This Row],[ISSUANCE]]</f>
        <v>35</v>
      </c>
    </row>
    <row r="227" spans="1:9" x14ac:dyDescent="0.25">
      <c r="A227" s="35">
        <f>IF(Table1[[#This Row],[DESCRIPTION2]]="","",A226+1)</f>
        <v>226</v>
      </c>
      <c r="B227" t="s">
        <v>493</v>
      </c>
      <c r="C227" t="s">
        <v>308</v>
      </c>
      <c r="D227" t="s">
        <v>260</v>
      </c>
      <c r="E227" t="s">
        <v>393</v>
      </c>
      <c r="F227" s="50">
        <v>0</v>
      </c>
      <c r="G227" s="44">
        <f>SUMIFS(TRANSACTION!D:D,TRANSACTION!C:C,Table1[[#This Row],[DESCRIPTION2]])</f>
        <v>259</v>
      </c>
      <c r="H227">
        <f>SUMIFS(TRANSACTION!$E:$E,TRANSACTION!$C:$C,Table1[[#This Row],[DESCRIPTION2]])</f>
        <v>209</v>
      </c>
      <c r="I227" s="42">
        <f>Table1[[#This Row],[OPENING]]+Table1[[#This Row],[RECEIPT]]-Table1[[#This Row],[ISSUANCE]]</f>
        <v>50</v>
      </c>
    </row>
    <row r="228" spans="1:9" x14ac:dyDescent="0.25">
      <c r="A228" s="35">
        <f>IF(Table1[[#This Row],[DESCRIPTION2]]="","",A227+1)</f>
        <v>227</v>
      </c>
      <c r="B228" t="s">
        <v>496</v>
      </c>
      <c r="C228" t="s">
        <v>132</v>
      </c>
      <c r="D228" t="s">
        <v>109</v>
      </c>
      <c r="E228" t="s">
        <v>393</v>
      </c>
      <c r="F228" s="50">
        <v>0</v>
      </c>
      <c r="G228" s="44">
        <f>SUMIFS(TRANSACTION!D:D,TRANSACTION!C:C,Table1[[#This Row],[DESCRIPTION2]])</f>
        <v>100</v>
      </c>
      <c r="H228">
        <f>SUMIFS(TRANSACTION!$E:$E,TRANSACTION!$C:$C,Table1[[#This Row],[DESCRIPTION2]])</f>
        <v>60</v>
      </c>
      <c r="I228" s="42">
        <f>Table1[[#This Row],[OPENING]]+Table1[[#This Row],[RECEIPT]]-Table1[[#This Row],[ISSUANCE]]</f>
        <v>40</v>
      </c>
    </row>
    <row r="229" spans="1:9" x14ac:dyDescent="0.25">
      <c r="A229" s="35">
        <f>IF(Table1[[#This Row],[DESCRIPTION2]]="","",A228+1)</f>
        <v>228</v>
      </c>
      <c r="B229" t="s">
        <v>497</v>
      </c>
      <c r="C229" s="46" t="s">
        <v>498</v>
      </c>
      <c r="D229" s="36" t="s">
        <v>181</v>
      </c>
      <c r="E229" s="36" t="s">
        <v>393</v>
      </c>
      <c r="F229" s="50">
        <v>0</v>
      </c>
      <c r="G229" s="44">
        <f>SUMIFS(TRANSACTION!D:D,TRANSACTION!C:C,Table1[[#This Row],[DESCRIPTION2]])</f>
        <v>326</v>
      </c>
      <c r="H229">
        <f>SUMIFS(TRANSACTION!$E:$E,TRANSACTION!$C:$C,Table1[[#This Row],[DESCRIPTION2]])</f>
        <v>221</v>
      </c>
      <c r="I229" s="42">
        <f>Table1[[#This Row],[OPENING]]+Table1[[#This Row],[RECEIPT]]-Table1[[#This Row],[ISSUANCE]]</f>
        <v>105</v>
      </c>
    </row>
    <row r="230" spans="1:9" x14ac:dyDescent="0.25">
      <c r="A230" s="35">
        <f>IF(Table1[[#This Row],[DESCRIPTION2]]="","",A229+1)</f>
        <v>229</v>
      </c>
      <c r="B230" s="36" t="s">
        <v>499</v>
      </c>
      <c r="C230" s="37" t="s">
        <v>322</v>
      </c>
      <c r="D230" s="37" t="s">
        <v>161</v>
      </c>
      <c r="E230" s="37" t="s">
        <v>393</v>
      </c>
      <c r="F230" s="50">
        <v>0</v>
      </c>
      <c r="G230" s="44">
        <f>SUMIFS(TRANSACTION!D:D,TRANSACTION!C:C,Table1[[#This Row],[DESCRIPTION2]])</f>
        <v>187</v>
      </c>
      <c r="H230">
        <f>SUMIFS(TRANSACTION!$E:$E,TRANSACTION!$C:$C,Table1[[#This Row],[DESCRIPTION2]])</f>
        <v>137</v>
      </c>
      <c r="I230" s="42">
        <f>Table1[[#This Row],[OPENING]]+Table1[[#This Row],[RECEIPT]]-Table1[[#This Row],[ISSUANCE]]</f>
        <v>50</v>
      </c>
    </row>
    <row r="231" spans="1:9" x14ac:dyDescent="0.25">
      <c r="A231" s="35">
        <f>IF(Table1[[#This Row],[DESCRIPTION2]]="","",A230+1)</f>
        <v>230</v>
      </c>
      <c r="B231" t="s">
        <v>502</v>
      </c>
      <c r="C231" s="46" t="s">
        <v>503</v>
      </c>
      <c r="D231" t="s">
        <v>181</v>
      </c>
      <c r="E231" s="36" t="s">
        <v>393</v>
      </c>
      <c r="F231" s="50">
        <v>0</v>
      </c>
      <c r="G231" s="44">
        <f>SUMIFS(TRANSACTION!D:D,TRANSACTION!C:C,Table1[[#This Row],[DESCRIPTION2]])</f>
        <v>150</v>
      </c>
      <c r="H231">
        <f>SUMIFS(TRANSACTION!$E:$E,TRANSACTION!$C:$C,Table1[[#This Row],[DESCRIPTION2]])</f>
        <v>84</v>
      </c>
      <c r="I231" s="42">
        <f>Table1[[#This Row],[OPENING]]+Table1[[#This Row],[RECEIPT]]-Table1[[#This Row],[ISSUANCE]]</f>
        <v>66</v>
      </c>
    </row>
    <row r="232" spans="1:9" x14ac:dyDescent="0.25">
      <c r="A232" s="35">
        <f>IF(Table1[[#This Row],[DESCRIPTION2]]="","",A231+1)</f>
        <v>231</v>
      </c>
      <c r="B232" t="s">
        <v>504</v>
      </c>
      <c r="C232" t="s">
        <v>505</v>
      </c>
      <c r="D232" t="s">
        <v>181</v>
      </c>
      <c r="E232" t="s">
        <v>393</v>
      </c>
      <c r="F232" s="50">
        <v>0</v>
      </c>
      <c r="G232" s="44">
        <f>SUMIFS(TRANSACTION!D:D,TRANSACTION!C:C,Table1[[#This Row],[DESCRIPTION2]])</f>
        <v>5</v>
      </c>
      <c r="H232">
        <f>SUMIFS(TRANSACTION!$E:$E,TRANSACTION!$C:$C,Table1[[#This Row],[DESCRIPTION2]])</f>
        <v>1</v>
      </c>
      <c r="I232" s="42">
        <f>Table1[[#This Row],[OPENING]]+Table1[[#This Row],[RECEIPT]]-Table1[[#This Row],[ISSUANCE]]</f>
        <v>4</v>
      </c>
    </row>
    <row r="233" spans="1:9" x14ac:dyDescent="0.25">
      <c r="A233" s="35">
        <f>IF(Table1[[#This Row],[DESCRIPTION2]]="","",A232+1)</f>
        <v>232</v>
      </c>
      <c r="B233" t="s">
        <v>506</v>
      </c>
      <c r="C233" s="46" t="s">
        <v>507</v>
      </c>
      <c r="D233" s="36" t="s">
        <v>181</v>
      </c>
      <c r="E233" s="36" t="s">
        <v>393</v>
      </c>
      <c r="F233" s="50">
        <v>0</v>
      </c>
      <c r="G233" s="44">
        <f>SUMIFS(TRANSACTION!D:D,TRANSACTION!C:C,Table1[[#This Row],[DESCRIPTION2]])</f>
        <v>50</v>
      </c>
      <c r="H233">
        <f>SUMIFS(TRANSACTION!$E:$E,TRANSACTION!$C:$C,Table1[[#This Row],[DESCRIPTION2]])</f>
        <v>23</v>
      </c>
      <c r="I233" s="42">
        <f>Table1[[#This Row],[OPENING]]+Table1[[#This Row],[RECEIPT]]-Table1[[#This Row],[ISSUANCE]]</f>
        <v>27</v>
      </c>
    </row>
    <row r="234" spans="1:9" x14ac:dyDescent="0.25">
      <c r="A234" s="35">
        <f>IF(Table1[[#This Row],[DESCRIPTION2]]="","",A233+1)</f>
        <v>233</v>
      </c>
      <c r="B234" t="s">
        <v>508</v>
      </c>
      <c r="C234" t="s">
        <v>245</v>
      </c>
      <c r="D234" t="s">
        <v>294</v>
      </c>
      <c r="E234" t="s">
        <v>393</v>
      </c>
      <c r="F234" s="50">
        <v>0</v>
      </c>
      <c r="G234" s="44">
        <f>SUMIFS(TRANSACTION!D:D,TRANSACTION!C:C,Table1[[#This Row],[DESCRIPTION2]])</f>
        <v>10</v>
      </c>
      <c r="H234">
        <f>SUMIFS(TRANSACTION!$E:$E,TRANSACTION!$C:$C,Table1[[#This Row],[DESCRIPTION2]])</f>
        <v>10</v>
      </c>
      <c r="I234" s="42">
        <f>Table1[[#This Row],[OPENING]]+Table1[[#This Row],[RECEIPT]]-Table1[[#This Row],[ISSUANCE]]</f>
        <v>0</v>
      </c>
    </row>
    <row r="235" spans="1:9" x14ac:dyDescent="0.25">
      <c r="A235" s="35">
        <f>IF(Table1[[#This Row],[DESCRIPTION2]]="","",A234+1)</f>
        <v>234</v>
      </c>
      <c r="B235" t="s">
        <v>512</v>
      </c>
      <c r="C235" s="47" t="s">
        <v>513</v>
      </c>
      <c r="D235" s="36" t="s">
        <v>181</v>
      </c>
      <c r="E235" s="36" t="s">
        <v>393</v>
      </c>
      <c r="F235" s="50">
        <v>0</v>
      </c>
      <c r="G235" s="44">
        <f>SUMIFS(TRANSACTION!D:D,TRANSACTION!C:C,Table1[[#This Row],[DESCRIPTION2]])</f>
        <v>2</v>
      </c>
      <c r="H235">
        <f>SUMIFS(TRANSACTION!$E:$E,TRANSACTION!$C:$C,Table1[[#This Row],[DESCRIPTION2]])</f>
        <v>0</v>
      </c>
      <c r="I235" s="42">
        <f>Table1[[#This Row],[OPENING]]+Table1[[#This Row],[RECEIPT]]-Table1[[#This Row],[ISSUANCE]]</f>
        <v>2</v>
      </c>
    </row>
    <row r="236" spans="1:9" x14ac:dyDescent="0.25">
      <c r="A236" s="35">
        <f>IF(Table1[[#This Row],[DESCRIPTION2]]="","",A235+1)</f>
        <v>235</v>
      </c>
      <c r="B236" s="37" t="s">
        <v>514</v>
      </c>
      <c r="C236" s="37" t="s">
        <v>358</v>
      </c>
      <c r="D236" s="37" t="s">
        <v>181</v>
      </c>
      <c r="E236" s="37" t="s">
        <v>393</v>
      </c>
      <c r="F236" s="50">
        <v>0</v>
      </c>
      <c r="G236" s="44">
        <f>SUMIFS(TRANSACTION!D:D,TRANSACTION!C:C,Table1[[#This Row],[DESCRIPTION2]])</f>
        <v>40</v>
      </c>
      <c r="H236">
        <f>SUMIFS(TRANSACTION!$E:$E,TRANSACTION!$C:$C,Table1[[#This Row],[DESCRIPTION2]])</f>
        <v>40</v>
      </c>
      <c r="I236" s="42">
        <f>Table1[[#This Row],[OPENING]]+Table1[[#This Row],[RECEIPT]]-Table1[[#This Row],[ISSUANCE]]</f>
        <v>0</v>
      </c>
    </row>
    <row r="237" spans="1:9" x14ac:dyDescent="0.25">
      <c r="A237" s="35">
        <f>IF(Table1[[#This Row],[DESCRIPTION2]]="","",A236+1)</f>
        <v>236</v>
      </c>
      <c r="B237" s="37" t="s">
        <v>515</v>
      </c>
      <c r="C237" s="37" t="s">
        <v>516</v>
      </c>
      <c r="D237" s="37" t="s">
        <v>181</v>
      </c>
      <c r="E237" s="37" t="s">
        <v>393</v>
      </c>
      <c r="F237" s="50">
        <v>0</v>
      </c>
      <c r="G237" s="44">
        <f>SUMIFS(TRANSACTION!D:D,TRANSACTION!C:C,Table1[[#This Row],[DESCRIPTION2]])</f>
        <v>19</v>
      </c>
      <c r="H237">
        <f>SUMIFS(TRANSACTION!$E:$E,TRANSACTION!$C:$C,Table1[[#This Row],[DESCRIPTION2]])</f>
        <v>19</v>
      </c>
      <c r="I237" s="42">
        <f>Table1[[#This Row],[OPENING]]+Table1[[#This Row],[RECEIPT]]-Table1[[#This Row],[ISSUANCE]]</f>
        <v>0</v>
      </c>
    </row>
    <row r="238" spans="1:9" x14ac:dyDescent="0.25">
      <c r="A238" s="35">
        <f>IF(Table1[[#This Row],[DESCRIPTION2]]="","",A237+1)</f>
        <v>237</v>
      </c>
      <c r="B238" s="37" t="s">
        <v>517</v>
      </c>
      <c r="C238" s="37" t="s">
        <v>446</v>
      </c>
      <c r="D238" s="37" t="s">
        <v>181</v>
      </c>
      <c r="E238" s="37" t="s">
        <v>393</v>
      </c>
      <c r="F238" s="50">
        <v>0</v>
      </c>
      <c r="G238" s="44">
        <f>SUMIFS(TRANSACTION!D:D,TRANSACTION!C:C,Table1[[#This Row],[DESCRIPTION2]])</f>
        <v>11</v>
      </c>
      <c r="H238">
        <f>SUMIFS(TRANSACTION!$E:$E,TRANSACTION!$C:$C,Table1[[#This Row],[DESCRIPTION2]])</f>
        <v>11</v>
      </c>
      <c r="I238" s="42">
        <f>Table1[[#This Row],[OPENING]]+Table1[[#This Row],[RECEIPT]]-Table1[[#This Row],[ISSUANCE]]</f>
        <v>0</v>
      </c>
    </row>
    <row r="239" spans="1:9" x14ac:dyDescent="0.25">
      <c r="A239" s="35">
        <f>IF(Table1[[#This Row],[DESCRIPTION2]]="","",A238+1)</f>
        <v>238</v>
      </c>
      <c r="B239" s="37" t="s">
        <v>518</v>
      </c>
      <c r="C239" s="48" t="s">
        <v>519</v>
      </c>
      <c r="D239" s="37" t="s">
        <v>181</v>
      </c>
      <c r="E239" s="37" t="s">
        <v>393</v>
      </c>
      <c r="F239" s="50">
        <v>0</v>
      </c>
      <c r="G239" s="44">
        <f>SUMIFS(TRANSACTION!D:D,TRANSACTION!C:C,Table1[[#This Row],[DESCRIPTION2]])</f>
        <v>40</v>
      </c>
      <c r="H239">
        <f>SUMIFS(TRANSACTION!$E:$E,TRANSACTION!$C:$C,Table1[[#This Row],[DESCRIPTION2]])</f>
        <v>5</v>
      </c>
      <c r="I239" s="42">
        <f>Table1[[#This Row],[OPENING]]+Table1[[#This Row],[RECEIPT]]-Table1[[#This Row],[ISSUANCE]]</f>
        <v>35</v>
      </c>
    </row>
    <row r="240" spans="1:9" x14ac:dyDescent="0.25">
      <c r="A240" s="35">
        <f>IF(Table1[[#This Row],[DESCRIPTION2]]="","",A239+1)</f>
        <v>239</v>
      </c>
      <c r="B240" s="37" t="s">
        <v>520</v>
      </c>
      <c r="C240" s="48" t="s">
        <v>519</v>
      </c>
      <c r="D240" s="37" t="s">
        <v>181</v>
      </c>
      <c r="E240" s="37" t="s">
        <v>393</v>
      </c>
      <c r="F240" s="50">
        <v>0</v>
      </c>
      <c r="G240" s="44">
        <f>SUMIFS(TRANSACTION!D:D,TRANSACTION!C:C,Table1[[#This Row],[DESCRIPTION2]])</f>
        <v>40</v>
      </c>
      <c r="H240">
        <f>SUMIFS(TRANSACTION!$E:$E,TRANSACTION!$C:$C,Table1[[#This Row],[DESCRIPTION2]])</f>
        <v>5</v>
      </c>
      <c r="I240" s="42">
        <f>Table1[[#This Row],[OPENING]]+Table1[[#This Row],[RECEIPT]]-Table1[[#This Row],[ISSUANCE]]</f>
        <v>35</v>
      </c>
    </row>
    <row r="241" spans="1:11" x14ac:dyDescent="0.25">
      <c r="A241" s="35">
        <f>IF(Table1[[#This Row],[DESCRIPTION2]]="","",A240+1)</f>
        <v>240</v>
      </c>
      <c r="B241" s="37" t="s">
        <v>521</v>
      </c>
      <c r="C241" s="48" t="s">
        <v>522</v>
      </c>
      <c r="D241" s="37" t="s">
        <v>181</v>
      </c>
      <c r="E241" s="37" t="s">
        <v>393</v>
      </c>
      <c r="F241" s="50">
        <v>0</v>
      </c>
      <c r="G241" s="44">
        <f>SUMIFS(TRANSACTION!D:D,TRANSACTION!C:C,Table1[[#This Row],[DESCRIPTION2]])</f>
        <v>33</v>
      </c>
      <c r="H241">
        <f>SUMIFS(TRANSACTION!$E:$E,TRANSACTION!$C:$C,Table1[[#This Row],[DESCRIPTION2]])</f>
        <v>0</v>
      </c>
      <c r="I241" s="42">
        <f>Table1[[#This Row],[OPENING]]+Table1[[#This Row],[RECEIPT]]-Table1[[#This Row],[ISSUANCE]]</f>
        <v>33</v>
      </c>
      <c r="K241" t="s">
        <v>660</v>
      </c>
    </row>
    <row r="242" spans="1:11" x14ac:dyDescent="0.25">
      <c r="A242" s="35">
        <f>IF(Table1[[#This Row],[DESCRIPTION2]]="","",A241+1)</f>
        <v>241</v>
      </c>
      <c r="B242" s="37" t="s">
        <v>523</v>
      </c>
      <c r="C242" s="37" t="s">
        <v>369</v>
      </c>
      <c r="D242" s="37" t="s">
        <v>181</v>
      </c>
      <c r="E242" s="37" t="s">
        <v>393</v>
      </c>
      <c r="F242" s="50">
        <v>0</v>
      </c>
      <c r="G242" s="44">
        <f>SUMIFS(TRANSACTION!D:D,TRANSACTION!C:C,Table1[[#This Row],[DESCRIPTION2]])</f>
        <v>119</v>
      </c>
      <c r="H242">
        <f>SUMIFS(TRANSACTION!$E:$E,TRANSACTION!$C:$C,Table1[[#This Row],[DESCRIPTION2]])</f>
        <v>45</v>
      </c>
      <c r="I242" s="42">
        <f>Table1[[#This Row],[OPENING]]+Table1[[#This Row],[RECEIPT]]-Table1[[#This Row],[ISSUANCE]]</f>
        <v>74</v>
      </c>
    </row>
    <row r="243" spans="1:11" x14ac:dyDescent="0.25">
      <c r="A243" s="35">
        <f>IF(Table1[[#This Row],[DESCRIPTION2]]="","",A242+1)</f>
        <v>242</v>
      </c>
      <c r="B243" s="37" t="s">
        <v>525</v>
      </c>
      <c r="C243" s="37" t="s">
        <v>350</v>
      </c>
      <c r="D243" s="37" t="s">
        <v>181</v>
      </c>
      <c r="E243" s="37" t="s">
        <v>393</v>
      </c>
      <c r="F243" s="50">
        <v>0</v>
      </c>
      <c r="G243" s="44">
        <f>SUMIFS(TRANSACTION!D:D,TRANSACTION!C:C,Table1[[#This Row],[DESCRIPTION2]])</f>
        <v>352</v>
      </c>
      <c r="H243">
        <f>SUMIFS(TRANSACTION!$E:$E,TRANSACTION!$C:$C,Table1[[#This Row],[DESCRIPTION2]])</f>
        <v>273</v>
      </c>
      <c r="I243" s="42">
        <f>Table1[[#This Row],[OPENING]]+Table1[[#This Row],[RECEIPT]]-Table1[[#This Row],[ISSUANCE]]</f>
        <v>79</v>
      </c>
    </row>
    <row r="244" spans="1:11" x14ac:dyDescent="0.25">
      <c r="A244" s="35">
        <f>IF(Table1[[#This Row],[DESCRIPTION2]]="","",A243+1)</f>
        <v>243</v>
      </c>
      <c r="B244" s="37" t="s">
        <v>524</v>
      </c>
      <c r="C244" s="49" t="s">
        <v>362</v>
      </c>
      <c r="D244" s="37" t="s">
        <v>181</v>
      </c>
      <c r="E244" s="37" t="s">
        <v>393</v>
      </c>
      <c r="F244" s="50">
        <v>0</v>
      </c>
      <c r="G244" s="44">
        <f>SUMIFS(TRANSACTION!D:D,TRANSACTION!C:C,Table1[[#This Row],[DESCRIPTION2]])</f>
        <v>20</v>
      </c>
      <c r="H244">
        <f>SUMIFS(TRANSACTION!$E:$E,TRANSACTION!$C:$C,Table1[[#This Row],[DESCRIPTION2]])</f>
        <v>10</v>
      </c>
      <c r="I244" s="42">
        <f>Table1[[#This Row],[OPENING]]+Table1[[#This Row],[RECEIPT]]-Table1[[#This Row],[ISSUANCE]]</f>
        <v>10</v>
      </c>
    </row>
    <row r="245" spans="1:11" x14ac:dyDescent="0.25">
      <c r="A245" s="35">
        <f>IF(Table1[[#This Row],[DESCRIPTION2]]="","",A244+1)</f>
        <v>244</v>
      </c>
      <c r="B245" t="s">
        <v>530</v>
      </c>
      <c r="C245" t="s">
        <v>300</v>
      </c>
      <c r="D245" t="s">
        <v>260</v>
      </c>
      <c r="E245" t="s">
        <v>393</v>
      </c>
      <c r="F245" s="50">
        <v>0</v>
      </c>
      <c r="G245" s="44">
        <f>SUMIFS(TRANSACTION!D:D,TRANSACTION!C:C,Table1[[#This Row],[DESCRIPTION2]])</f>
        <v>15</v>
      </c>
      <c r="H245">
        <f>SUMIFS(TRANSACTION!$E:$E,TRANSACTION!$C:$C,Table1[[#This Row],[DESCRIPTION2]])</f>
        <v>12</v>
      </c>
      <c r="I245" s="42">
        <f>Table1[[#This Row],[OPENING]]+Table1[[#This Row],[RECEIPT]]-Table1[[#This Row],[ISSUANCE]]</f>
        <v>3</v>
      </c>
    </row>
    <row r="246" spans="1:11" x14ac:dyDescent="0.25">
      <c r="A246" s="35">
        <f>IF(Table1[[#This Row],[DESCRIPTION2]]="","",A245+1)</f>
        <v>245</v>
      </c>
      <c r="B246" t="s">
        <v>527</v>
      </c>
      <c r="C246" t="s">
        <v>342</v>
      </c>
      <c r="D246" t="s">
        <v>181</v>
      </c>
      <c r="E246" t="s">
        <v>393</v>
      </c>
      <c r="F246" s="50">
        <v>0</v>
      </c>
      <c r="G246" s="44">
        <f>SUMIFS(TRANSACTION!D:D,TRANSACTION!C:C,Table1[[#This Row],[DESCRIPTION2]])</f>
        <v>150</v>
      </c>
      <c r="H246">
        <f>SUMIFS(TRANSACTION!$E:$E,TRANSACTION!$C:$C,Table1[[#This Row],[DESCRIPTION2]])</f>
        <v>110</v>
      </c>
      <c r="I246" s="42">
        <f>Table1[[#This Row],[OPENING]]+Table1[[#This Row],[RECEIPT]]-Table1[[#This Row],[ISSUANCE]]</f>
        <v>40</v>
      </c>
    </row>
    <row r="247" spans="1:11" x14ac:dyDescent="0.25">
      <c r="A247" s="35">
        <f>IF(Table1[[#This Row],[DESCRIPTION2]]="","",A246+1)</f>
        <v>246</v>
      </c>
      <c r="B247" t="s">
        <v>526</v>
      </c>
      <c r="C247" t="s">
        <v>245</v>
      </c>
      <c r="D247" t="s">
        <v>181</v>
      </c>
      <c r="E247" t="s">
        <v>393</v>
      </c>
      <c r="F247" s="50">
        <v>0</v>
      </c>
      <c r="G247" s="44">
        <f>SUMIFS(TRANSACTION!D:D,TRANSACTION!C:C,Table1[[#This Row],[DESCRIPTION2]])</f>
        <v>3</v>
      </c>
      <c r="H247">
        <f>SUMIFS(TRANSACTION!$E:$E,TRANSACTION!$C:$C,Table1[[#This Row],[DESCRIPTION2]])</f>
        <v>3</v>
      </c>
      <c r="I247" s="42">
        <f>Table1[[#This Row],[OPENING]]+Table1[[#This Row],[RECEIPT]]-Table1[[#This Row],[ISSUANCE]]</f>
        <v>0</v>
      </c>
    </row>
    <row r="248" spans="1:11" x14ac:dyDescent="0.25">
      <c r="A248" s="35">
        <f>IF(Table1[[#This Row],[DESCRIPTION2]]="","",A247+1)</f>
        <v>247</v>
      </c>
      <c r="B248" t="s">
        <v>535</v>
      </c>
      <c r="C248" t="s">
        <v>402</v>
      </c>
      <c r="D248" t="s">
        <v>398</v>
      </c>
      <c r="E248" t="s">
        <v>393</v>
      </c>
      <c r="F248" s="50">
        <v>50</v>
      </c>
      <c r="G248" s="44">
        <f>SUMIFS(TRANSACTION!D:D,TRANSACTION!C:C,Table1[[#This Row],[DESCRIPTION2]])</f>
        <v>50</v>
      </c>
      <c r="H248">
        <f>SUMIFS(TRANSACTION!$E:$E,TRANSACTION!$C:$C,Table1[[#This Row],[DESCRIPTION2]])</f>
        <v>40</v>
      </c>
      <c r="I248" s="42">
        <f>Table1[[#This Row],[OPENING]]+Table1[[#This Row],[RECEIPT]]-Table1[[#This Row],[ISSUANCE]]</f>
        <v>60</v>
      </c>
    </row>
    <row r="249" spans="1:11" x14ac:dyDescent="0.25">
      <c r="A249" s="35">
        <f>IF(Table1[[#This Row],[DESCRIPTION2]]="","",A248+1)</f>
        <v>248</v>
      </c>
      <c r="B249" t="s">
        <v>537</v>
      </c>
      <c r="C249" t="s">
        <v>538</v>
      </c>
      <c r="D249" t="s">
        <v>161</v>
      </c>
      <c r="E249" t="s">
        <v>393</v>
      </c>
      <c r="F249" s="50">
        <v>0</v>
      </c>
      <c r="G249" s="44">
        <f>SUMIFS(TRANSACTION!D:D,TRANSACTION!C:C,Table1[[#This Row],[DESCRIPTION2]])</f>
        <v>10</v>
      </c>
      <c r="H249">
        <f>SUMIFS(TRANSACTION!$E:$E,TRANSACTION!$C:$C,Table1[[#This Row],[DESCRIPTION2]])</f>
        <v>10</v>
      </c>
      <c r="I249" s="42">
        <f>Table1[[#This Row],[OPENING]]+Table1[[#This Row],[RECEIPT]]-Table1[[#This Row],[ISSUANCE]]</f>
        <v>0</v>
      </c>
    </row>
    <row r="250" spans="1:11" x14ac:dyDescent="0.25">
      <c r="A250" s="35">
        <f>IF(Table1[[#This Row],[DESCRIPTION2]]="","",A249+1)</f>
        <v>249</v>
      </c>
      <c r="B250" t="s">
        <v>541</v>
      </c>
      <c r="C250" t="s">
        <v>542</v>
      </c>
      <c r="D250" t="s">
        <v>161</v>
      </c>
      <c r="E250" t="s">
        <v>393</v>
      </c>
      <c r="F250" s="50">
        <v>0</v>
      </c>
      <c r="G250" s="44">
        <f>SUMIFS(TRANSACTION!D:D,TRANSACTION!C:C,Table1[[#This Row],[DESCRIPTION2]])</f>
        <v>36</v>
      </c>
      <c r="H250">
        <f>SUMIFS(TRANSACTION!$E:$E,TRANSACTION!$C:$C,Table1[[#This Row],[DESCRIPTION2]])</f>
        <v>15</v>
      </c>
      <c r="I250" s="42">
        <f>Table1[[#This Row],[OPENING]]+Table1[[#This Row],[RECEIPT]]-Table1[[#This Row],[ISSUANCE]]</f>
        <v>21</v>
      </c>
    </row>
    <row r="251" spans="1:11" x14ac:dyDescent="0.25">
      <c r="A251" s="35">
        <f>IF(Table1[[#This Row],[DESCRIPTION2]]="","",A250+1)</f>
        <v>250</v>
      </c>
      <c r="B251" t="s">
        <v>543</v>
      </c>
      <c r="C251" t="s">
        <v>334</v>
      </c>
      <c r="D251" t="s">
        <v>156</v>
      </c>
      <c r="E251" t="s">
        <v>393</v>
      </c>
      <c r="F251" s="50">
        <v>0</v>
      </c>
      <c r="G251" s="44">
        <f>SUMIFS(TRANSACTION!D:D,TRANSACTION!C:C,Table1[[#This Row],[DESCRIPTION2]])</f>
        <v>10</v>
      </c>
      <c r="H251">
        <f>SUMIFS(TRANSACTION!$E:$E,TRANSACTION!$C:$C,Table1[[#This Row],[DESCRIPTION2]])</f>
        <v>10</v>
      </c>
      <c r="I251" s="42">
        <f>Table1[[#This Row],[OPENING]]+Table1[[#This Row],[RECEIPT]]-Table1[[#This Row],[ISSUANCE]]</f>
        <v>0</v>
      </c>
    </row>
    <row r="252" spans="1:11" x14ac:dyDescent="0.25">
      <c r="A252" s="35">
        <f>IF(Table1[[#This Row],[DESCRIPTION2]]="","",A251+1)</f>
        <v>251</v>
      </c>
      <c r="B252" t="s">
        <v>545</v>
      </c>
      <c r="C252" t="s">
        <v>341</v>
      </c>
      <c r="D252" t="s">
        <v>181</v>
      </c>
      <c r="E252" t="s">
        <v>393</v>
      </c>
      <c r="F252" s="50">
        <v>0</v>
      </c>
      <c r="G252" s="44">
        <f>SUMIFS(TRANSACTION!D:D,TRANSACTION!C:C,Table1[[#This Row],[DESCRIPTION2]])</f>
        <v>120</v>
      </c>
      <c r="H252">
        <f>SUMIFS(TRANSACTION!$E:$E,TRANSACTION!$C:$C,Table1[[#This Row],[DESCRIPTION2]])</f>
        <v>75</v>
      </c>
      <c r="I252" s="42">
        <f>Table1[[#This Row],[OPENING]]+Table1[[#This Row],[RECEIPT]]-Table1[[#This Row],[ISSUANCE]]</f>
        <v>45</v>
      </c>
    </row>
    <row r="253" spans="1:11" x14ac:dyDescent="0.25">
      <c r="A253" s="35">
        <f>IF(Table1[[#This Row],[DESCRIPTION2]]="","",A252+1)</f>
        <v>252</v>
      </c>
      <c r="B253" t="s">
        <v>546</v>
      </c>
      <c r="C253" t="s">
        <v>283</v>
      </c>
      <c r="D253" t="s">
        <v>294</v>
      </c>
      <c r="E253" t="s">
        <v>393</v>
      </c>
      <c r="F253" s="50">
        <v>0</v>
      </c>
      <c r="G253" s="44">
        <f>SUMIFS(TRANSACTION!D:D,TRANSACTION!C:C,Table1[[#This Row],[DESCRIPTION2]])</f>
        <v>2</v>
      </c>
      <c r="H253">
        <f>SUMIFS(TRANSACTION!$E:$E,TRANSACTION!$C:$C,Table1[[#This Row],[DESCRIPTION2]])</f>
        <v>0</v>
      </c>
      <c r="I253" s="42">
        <f>Table1[[#This Row],[OPENING]]+Table1[[#This Row],[RECEIPT]]-Table1[[#This Row],[ISSUANCE]]</f>
        <v>2</v>
      </c>
    </row>
    <row r="254" spans="1:11" x14ac:dyDescent="0.25">
      <c r="A254" s="35">
        <f>IF(Table1[[#This Row],[DESCRIPTION2]]="","",A253+1)</f>
        <v>253</v>
      </c>
      <c r="B254" t="s">
        <v>547</v>
      </c>
      <c r="C254" t="s">
        <v>542</v>
      </c>
      <c r="D254" t="s">
        <v>161</v>
      </c>
      <c r="E254" t="s">
        <v>393</v>
      </c>
      <c r="F254" s="50">
        <v>0</v>
      </c>
      <c r="G254" s="44">
        <f>SUMIFS(TRANSACTION!D:D,TRANSACTION!C:C,Table1[[#This Row],[DESCRIPTION2]])</f>
        <v>20</v>
      </c>
      <c r="H254">
        <f>SUMIFS(TRANSACTION!$E:$E,TRANSACTION!$C:$C,Table1[[#This Row],[DESCRIPTION2]])</f>
        <v>20</v>
      </c>
      <c r="I254" s="42">
        <f>Table1[[#This Row],[OPENING]]+Table1[[#This Row],[RECEIPT]]-Table1[[#This Row],[ISSUANCE]]</f>
        <v>0</v>
      </c>
    </row>
    <row r="255" spans="1:11" x14ac:dyDescent="0.25">
      <c r="A255" s="35">
        <f>IF(Table1[[#This Row],[DESCRIPTION2]]="","",A254+1)</f>
        <v>254</v>
      </c>
      <c r="B255" t="s">
        <v>548</v>
      </c>
      <c r="C255" t="s">
        <v>549</v>
      </c>
      <c r="D255" t="s">
        <v>156</v>
      </c>
      <c r="E255" t="s">
        <v>393</v>
      </c>
      <c r="F255" s="50">
        <v>0</v>
      </c>
      <c r="G255" s="44">
        <f>SUMIFS(TRANSACTION!D:D,TRANSACTION!C:C,Table1[[#This Row],[DESCRIPTION2]])</f>
        <v>50</v>
      </c>
      <c r="H255">
        <f>SUMIFS(TRANSACTION!$E:$E,TRANSACTION!$C:$C,Table1[[#This Row],[DESCRIPTION2]])</f>
        <v>50</v>
      </c>
      <c r="I255" s="42">
        <f>Table1[[#This Row],[OPENING]]+Table1[[#This Row],[RECEIPT]]-Table1[[#This Row],[ISSUANCE]]</f>
        <v>0</v>
      </c>
    </row>
    <row r="256" spans="1:11" x14ac:dyDescent="0.25">
      <c r="A256" s="35">
        <f>IF(Table1[[#This Row],[DESCRIPTION2]]="","",A255+1)</f>
        <v>255</v>
      </c>
      <c r="B256" t="s">
        <v>550</v>
      </c>
      <c r="C256" t="s">
        <v>299</v>
      </c>
      <c r="D256" t="s">
        <v>181</v>
      </c>
      <c r="E256" t="s">
        <v>393</v>
      </c>
      <c r="F256" s="50">
        <v>0</v>
      </c>
      <c r="G256" s="44">
        <f>SUMIFS(TRANSACTION!D:D,TRANSACTION!C:C,Table1[[#This Row],[DESCRIPTION2]])</f>
        <v>200</v>
      </c>
      <c r="H256">
        <f>SUMIFS(TRANSACTION!$E:$E,TRANSACTION!$C:$C,Table1[[#This Row],[DESCRIPTION2]])</f>
        <v>106</v>
      </c>
      <c r="I256" s="42">
        <f>Table1[[#This Row],[OPENING]]+Table1[[#This Row],[RECEIPT]]-Table1[[#This Row],[ISSUANCE]]</f>
        <v>94</v>
      </c>
    </row>
    <row r="257" spans="1:9" x14ac:dyDescent="0.25">
      <c r="A257" s="35">
        <f>IF(Table1[[#This Row],[DESCRIPTION2]]="","",A256+1)</f>
        <v>256</v>
      </c>
      <c r="B257" t="s">
        <v>551</v>
      </c>
      <c r="C257" t="s">
        <v>365</v>
      </c>
      <c r="D257" t="s">
        <v>260</v>
      </c>
      <c r="E257" t="s">
        <v>393</v>
      </c>
      <c r="F257" s="50">
        <v>0</v>
      </c>
      <c r="G257" s="44">
        <f>SUMIFS(TRANSACTION!D:D,TRANSACTION!C:C,Table1[[#This Row],[DESCRIPTION2]])</f>
        <v>200</v>
      </c>
      <c r="H257">
        <f>SUMIFS(TRANSACTION!$E:$E,TRANSACTION!$C:$C,Table1[[#This Row],[DESCRIPTION2]])</f>
        <v>200</v>
      </c>
      <c r="I257" s="42">
        <f>Table1[[#This Row],[OPENING]]+Table1[[#This Row],[RECEIPT]]-Table1[[#This Row],[ISSUANCE]]</f>
        <v>0</v>
      </c>
    </row>
    <row r="258" spans="1:9" x14ac:dyDescent="0.25">
      <c r="A258" s="35">
        <f>IF(Table1[[#This Row],[DESCRIPTION2]]="","",A257+1)</f>
        <v>257</v>
      </c>
      <c r="B258" t="s">
        <v>552</v>
      </c>
      <c r="C258" t="s">
        <v>553</v>
      </c>
      <c r="D258" t="s">
        <v>430</v>
      </c>
      <c r="E258" t="s">
        <v>393</v>
      </c>
      <c r="F258" s="50">
        <v>0</v>
      </c>
      <c r="G258" s="44">
        <f>SUMIFS(TRANSACTION!D:D,TRANSACTION!C:C,Table1[[#This Row],[DESCRIPTION2]])</f>
        <v>150</v>
      </c>
      <c r="H258">
        <f>SUMIFS(TRANSACTION!$E:$E,TRANSACTION!$C:$C,Table1[[#This Row],[DESCRIPTION2]])</f>
        <v>85</v>
      </c>
      <c r="I258" s="42">
        <f>Table1[[#This Row],[OPENING]]+Table1[[#This Row],[RECEIPT]]-Table1[[#This Row],[ISSUANCE]]</f>
        <v>65</v>
      </c>
    </row>
    <row r="259" spans="1:9" x14ac:dyDescent="0.25">
      <c r="A259" s="35">
        <f>IF(Table1[[#This Row],[DESCRIPTION2]]="","",A258+1)</f>
        <v>258</v>
      </c>
      <c r="B259" t="s">
        <v>556</v>
      </c>
      <c r="C259" t="s">
        <v>305</v>
      </c>
      <c r="D259" t="s">
        <v>181</v>
      </c>
      <c r="E259" t="s">
        <v>393</v>
      </c>
      <c r="F259" s="50">
        <v>0</v>
      </c>
      <c r="G259" s="44">
        <f>SUMIFS(TRANSACTION!D:D,TRANSACTION!C:C,Table1[[#This Row],[DESCRIPTION2]])</f>
        <v>15</v>
      </c>
      <c r="H259">
        <f>SUMIFS(TRANSACTION!$E:$E,TRANSACTION!$C:$C,Table1[[#This Row],[DESCRIPTION2]])</f>
        <v>10</v>
      </c>
      <c r="I259" s="42">
        <f>Table1[[#This Row],[OPENING]]+Table1[[#This Row],[RECEIPT]]-Table1[[#This Row],[ISSUANCE]]</f>
        <v>5</v>
      </c>
    </row>
    <row r="260" spans="1:9" x14ac:dyDescent="0.25">
      <c r="A260" s="35">
        <f>IF(Table1[[#This Row],[DESCRIPTION2]]="","",A259+1)</f>
        <v>259</v>
      </c>
      <c r="B260" t="s">
        <v>557</v>
      </c>
      <c r="C260" t="s">
        <v>305</v>
      </c>
      <c r="D260" t="s">
        <v>260</v>
      </c>
      <c r="E260" t="s">
        <v>393</v>
      </c>
      <c r="F260" s="50">
        <v>0</v>
      </c>
      <c r="G260" s="44">
        <f>SUMIFS(TRANSACTION!D:D,TRANSACTION!C:C,Table1[[#This Row],[DESCRIPTION2]])</f>
        <v>45</v>
      </c>
      <c r="H260">
        <f>SUMIFS(TRANSACTION!$E:$E,TRANSACTION!$C:$C,Table1[[#This Row],[DESCRIPTION2]])</f>
        <v>25</v>
      </c>
      <c r="I260" s="42">
        <f>Table1[[#This Row],[OPENING]]+Table1[[#This Row],[RECEIPT]]-Table1[[#This Row],[ISSUANCE]]</f>
        <v>20</v>
      </c>
    </row>
    <row r="261" spans="1:9" x14ac:dyDescent="0.25">
      <c r="A261" s="35">
        <f>IF(Table1[[#This Row],[DESCRIPTION2]]="","",A260+1)</f>
        <v>260</v>
      </c>
      <c r="B261" t="s">
        <v>558</v>
      </c>
      <c r="C261" t="s">
        <v>359</v>
      </c>
      <c r="D261" t="s">
        <v>181</v>
      </c>
      <c r="E261" t="s">
        <v>393</v>
      </c>
      <c r="F261" s="50">
        <v>0</v>
      </c>
      <c r="G261" s="44">
        <f>SUMIFS(TRANSACTION!D:D,TRANSACTION!C:C,Table1[[#This Row],[DESCRIPTION2]])</f>
        <v>20</v>
      </c>
      <c r="H261">
        <f>SUMIFS(TRANSACTION!$E:$E,TRANSACTION!$C:$C,Table1[[#This Row],[DESCRIPTION2]])</f>
        <v>20</v>
      </c>
      <c r="I261" s="42">
        <f>Table1[[#This Row],[OPENING]]+Table1[[#This Row],[RECEIPT]]-Table1[[#This Row],[ISSUANCE]]</f>
        <v>0</v>
      </c>
    </row>
    <row r="262" spans="1:9" x14ac:dyDescent="0.25">
      <c r="A262" s="35">
        <f>IF(Table1[[#This Row],[DESCRIPTION2]]="","",A261+1)</f>
        <v>261</v>
      </c>
      <c r="B262" t="s">
        <v>559</v>
      </c>
      <c r="C262" t="s">
        <v>560</v>
      </c>
      <c r="D262" t="s">
        <v>181</v>
      </c>
      <c r="E262" t="s">
        <v>393</v>
      </c>
      <c r="F262" s="50">
        <v>0</v>
      </c>
      <c r="G262" s="44">
        <f>SUMIFS(TRANSACTION!D:D,TRANSACTION!C:C,Table1[[#This Row],[DESCRIPTION2]])</f>
        <v>84</v>
      </c>
      <c r="H262">
        <f>SUMIFS(TRANSACTION!$E:$E,TRANSACTION!$C:$C,Table1[[#This Row],[DESCRIPTION2]])</f>
        <v>19</v>
      </c>
      <c r="I262" s="42">
        <f>Table1[[#This Row],[OPENING]]+Table1[[#This Row],[RECEIPT]]-Table1[[#This Row],[ISSUANCE]]</f>
        <v>65</v>
      </c>
    </row>
    <row r="263" spans="1:9" x14ac:dyDescent="0.25">
      <c r="A263" s="35">
        <f>IF(Table1[[#This Row],[DESCRIPTION2]]="","",A262+1)</f>
        <v>262</v>
      </c>
      <c r="B263" t="s">
        <v>562</v>
      </c>
      <c r="C263" t="s">
        <v>561</v>
      </c>
      <c r="D263" t="s">
        <v>181</v>
      </c>
      <c r="E263" t="s">
        <v>393</v>
      </c>
      <c r="F263" s="50">
        <v>0</v>
      </c>
      <c r="G263" s="44">
        <f>SUMIFS(TRANSACTION!D:D,TRANSACTION!C:C,Table1[[#This Row],[DESCRIPTION2]])</f>
        <v>110</v>
      </c>
      <c r="H263">
        <f>SUMIFS(TRANSACTION!$E:$E,TRANSACTION!$C:$C,Table1[[#This Row],[DESCRIPTION2]])</f>
        <v>41</v>
      </c>
      <c r="I263" s="42">
        <f>Table1[[#This Row],[OPENING]]+Table1[[#This Row],[RECEIPT]]-Table1[[#This Row],[ISSUANCE]]</f>
        <v>69</v>
      </c>
    </row>
    <row r="264" spans="1:9" x14ac:dyDescent="0.25">
      <c r="A264" s="35">
        <f>IF(Table1[[#This Row],[DESCRIPTION2]]="","",A263+1)</f>
        <v>263</v>
      </c>
      <c r="B264" t="s">
        <v>565</v>
      </c>
      <c r="C264" t="s">
        <v>305</v>
      </c>
      <c r="D264" t="s">
        <v>181</v>
      </c>
      <c r="E264" t="s">
        <v>393</v>
      </c>
      <c r="F264" s="50">
        <v>0</v>
      </c>
      <c r="G264" s="44">
        <f>SUMIFS(TRANSACTION!D:D,TRANSACTION!C:C,Table1[[#This Row],[DESCRIPTION2]])</f>
        <v>35</v>
      </c>
      <c r="H264">
        <f>SUMIFS(TRANSACTION!$E:$E,TRANSACTION!$C:$C,Table1[[#This Row],[DESCRIPTION2]])</f>
        <v>10</v>
      </c>
      <c r="I264" s="42">
        <f>Table1[[#This Row],[OPENING]]+Table1[[#This Row],[RECEIPT]]-Table1[[#This Row],[ISSUANCE]]</f>
        <v>25</v>
      </c>
    </row>
    <row r="265" spans="1:9" x14ac:dyDescent="0.25">
      <c r="A265" s="35">
        <f>IF(Table1[[#This Row],[DESCRIPTION2]]="","",A264+1)</f>
        <v>264</v>
      </c>
      <c r="B265" t="s">
        <v>566</v>
      </c>
      <c r="C265" t="s">
        <v>360</v>
      </c>
      <c r="D265" t="s">
        <v>181</v>
      </c>
      <c r="E265" t="s">
        <v>393</v>
      </c>
      <c r="F265" s="50">
        <v>0</v>
      </c>
      <c r="G265" s="44">
        <f>SUMIFS(TRANSACTION!D:D,TRANSACTION!C:C,Table1[[#This Row],[DESCRIPTION2]])</f>
        <v>240</v>
      </c>
      <c r="H265">
        <f>SUMIFS(TRANSACTION!$E:$E,TRANSACTION!$C:$C,Table1[[#This Row],[DESCRIPTION2]])</f>
        <v>180</v>
      </c>
      <c r="I265" s="42">
        <f>Table1[[#This Row],[OPENING]]+Table1[[#This Row],[RECEIPT]]-Table1[[#This Row],[ISSUANCE]]</f>
        <v>60</v>
      </c>
    </row>
    <row r="266" spans="1:9" x14ac:dyDescent="0.25">
      <c r="A266" s="35">
        <f>IF(Table1[[#This Row],[DESCRIPTION2]]="","",A265+1)</f>
        <v>265</v>
      </c>
      <c r="B266" t="s">
        <v>567</v>
      </c>
      <c r="C266" t="s">
        <v>568</v>
      </c>
      <c r="D266" t="s">
        <v>109</v>
      </c>
      <c r="E266" t="s">
        <v>393</v>
      </c>
      <c r="F266" s="50">
        <v>0</v>
      </c>
      <c r="G266" s="44">
        <f>SUMIFS(TRANSACTION!D:D,TRANSACTION!C:C,Table1[[#This Row],[DESCRIPTION2]])</f>
        <v>40</v>
      </c>
      <c r="H266">
        <f>SUMIFS(TRANSACTION!$E:$E,TRANSACTION!$C:$C,Table1[[#This Row],[DESCRIPTION2]])</f>
        <v>10</v>
      </c>
      <c r="I266" s="42">
        <f>Table1[[#This Row],[OPENING]]+Table1[[#This Row],[RECEIPT]]-Table1[[#This Row],[ISSUANCE]]</f>
        <v>30</v>
      </c>
    </row>
    <row r="267" spans="1:9" x14ac:dyDescent="0.25">
      <c r="A267" s="35">
        <f>IF(Table1[[#This Row],[DESCRIPTION2]]="","",A266+1)</f>
        <v>266</v>
      </c>
      <c r="B267" t="s">
        <v>569</v>
      </c>
      <c r="C267" t="s">
        <v>570</v>
      </c>
      <c r="D267" t="s">
        <v>109</v>
      </c>
      <c r="E267" t="s">
        <v>393</v>
      </c>
      <c r="F267" s="50">
        <v>0</v>
      </c>
      <c r="G267" s="44">
        <f>SUMIFS(TRANSACTION!D:D,TRANSACTION!C:C,Table1[[#This Row],[DESCRIPTION2]])</f>
        <v>90</v>
      </c>
      <c r="H267">
        <f>SUMIFS(TRANSACTION!$E:$E,TRANSACTION!$C:$C,Table1[[#This Row],[DESCRIPTION2]])</f>
        <v>50</v>
      </c>
      <c r="I267" s="42">
        <f>Table1[[#This Row],[OPENING]]+Table1[[#This Row],[RECEIPT]]-Table1[[#This Row],[ISSUANCE]]</f>
        <v>40</v>
      </c>
    </row>
    <row r="268" spans="1:9" x14ac:dyDescent="0.25">
      <c r="A268" s="35">
        <f>IF(Table1[[#This Row],[DESCRIPTION2]]="","",A267+1)</f>
        <v>267</v>
      </c>
      <c r="B268" t="s">
        <v>571</v>
      </c>
      <c r="C268" t="s">
        <v>572</v>
      </c>
      <c r="D268" t="s">
        <v>181</v>
      </c>
      <c r="E268" t="s">
        <v>393</v>
      </c>
      <c r="F268" s="50">
        <v>0</v>
      </c>
      <c r="G268" s="44">
        <f>SUMIFS(TRANSACTION!D:D,TRANSACTION!C:C,Table1[[#This Row],[DESCRIPTION2]])</f>
        <v>126</v>
      </c>
      <c r="H268">
        <f>SUMIFS(TRANSACTION!$E:$E,TRANSACTION!$C:$C,Table1[[#This Row],[DESCRIPTION2]])</f>
        <v>66</v>
      </c>
      <c r="I268" s="42">
        <f>Table1[[#This Row],[OPENING]]+Table1[[#This Row],[RECEIPT]]-Table1[[#This Row],[ISSUANCE]]</f>
        <v>60</v>
      </c>
    </row>
    <row r="269" spans="1:9" x14ac:dyDescent="0.25">
      <c r="A269" s="35">
        <f>IF(Table1[[#This Row],[DESCRIPTION2]]="","",A268+1)</f>
        <v>268</v>
      </c>
      <c r="B269" t="s">
        <v>573</v>
      </c>
      <c r="C269" t="s">
        <v>350</v>
      </c>
      <c r="D269" t="s">
        <v>181</v>
      </c>
      <c r="E269" t="s">
        <v>393</v>
      </c>
      <c r="F269" s="50">
        <v>0</v>
      </c>
      <c r="G269" s="44">
        <f>SUMIFS(TRANSACTION!D:D,TRANSACTION!C:C,Table1[[#This Row],[DESCRIPTION2]])</f>
        <v>60</v>
      </c>
      <c r="H269">
        <f>SUMIFS(TRANSACTION!$E:$E,TRANSACTION!$C:$C,Table1[[#This Row],[DESCRIPTION2]])</f>
        <v>35</v>
      </c>
      <c r="I269" s="42">
        <f>Table1[[#This Row],[OPENING]]+Table1[[#This Row],[RECEIPT]]-Table1[[#This Row],[ISSUANCE]]</f>
        <v>25</v>
      </c>
    </row>
    <row r="270" spans="1:9" x14ac:dyDescent="0.25">
      <c r="A270" s="35">
        <f>IF(Table1[[#This Row],[DESCRIPTION2]]="","",A269+1)</f>
        <v>269</v>
      </c>
      <c r="B270" t="s">
        <v>574</v>
      </c>
      <c r="C270" t="s">
        <v>359</v>
      </c>
      <c r="D270" t="s">
        <v>156</v>
      </c>
      <c r="E270" t="s">
        <v>393</v>
      </c>
      <c r="F270" s="50">
        <v>0</v>
      </c>
      <c r="G270" s="44">
        <f>SUMIFS(TRANSACTION!D:D,TRANSACTION!C:C,Table1[[#This Row],[DESCRIPTION2]])</f>
        <v>70</v>
      </c>
      <c r="H270">
        <f>SUMIFS(TRANSACTION!$E:$E,TRANSACTION!$C:$C,Table1[[#This Row],[DESCRIPTION2]])</f>
        <v>10</v>
      </c>
      <c r="I270" s="42">
        <f>Table1[[#This Row],[OPENING]]+Table1[[#This Row],[RECEIPT]]-Table1[[#This Row],[ISSUANCE]]</f>
        <v>60</v>
      </c>
    </row>
    <row r="271" spans="1:9" x14ac:dyDescent="0.25">
      <c r="A271" s="35">
        <f>IF(Table1[[#This Row],[DESCRIPTION2]]="","",A270+1)</f>
        <v>270</v>
      </c>
      <c r="B271" t="s">
        <v>575</v>
      </c>
      <c r="C271" t="s">
        <v>359</v>
      </c>
      <c r="D271" t="s">
        <v>156</v>
      </c>
      <c r="E271" t="s">
        <v>393</v>
      </c>
      <c r="F271" s="50">
        <v>0</v>
      </c>
      <c r="G271" s="44">
        <f>SUMIFS(TRANSACTION!D:D,TRANSACTION!C:C,Table1[[#This Row],[DESCRIPTION2]])</f>
        <v>70</v>
      </c>
      <c r="H271">
        <f>SUMIFS(TRANSACTION!$E:$E,TRANSACTION!$C:$C,Table1[[#This Row],[DESCRIPTION2]])</f>
        <v>20</v>
      </c>
      <c r="I271" s="42">
        <f>Table1[[#This Row],[OPENING]]+Table1[[#This Row],[RECEIPT]]-Table1[[#This Row],[ISSUANCE]]</f>
        <v>50</v>
      </c>
    </row>
    <row r="272" spans="1:9" x14ac:dyDescent="0.25">
      <c r="A272" s="35">
        <f>IF(Table1[[#This Row],[DESCRIPTION2]]="","",A271+1)</f>
        <v>271</v>
      </c>
      <c r="B272" t="s">
        <v>592</v>
      </c>
      <c r="C272" t="s">
        <v>113</v>
      </c>
      <c r="D272" t="s">
        <v>109</v>
      </c>
      <c r="E272" t="s">
        <v>393</v>
      </c>
      <c r="F272" s="50">
        <v>0</v>
      </c>
      <c r="G272" s="44">
        <f>SUMIFS(TRANSACTION!D:D,TRANSACTION!C:C,Table1[[#This Row],[DESCRIPTION2]])</f>
        <v>70</v>
      </c>
      <c r="H272">
        <f>SUMIFS(TRANSACTION!$E:$E,TRANSACTION!$C:$C,Table1[[#This Row],[DESCRIPTION2]])</f>
        <v>20</v>
      </c>
      <c r="I272" s="42">
        <f>Table1[[#This Row],[OPENING]]+Table1[[#This Row],[RECEIPT]]-Table1[[#This Row],[ISSUANCE]]</f>
        <v>50</v>
      </c>
    </row>
    <row r="273" spans="1:9" x14ac:dyDescent="0.25">
      <c r="A273" s="35">
        <f>IF(Table1[[#This Row],[DESCRIPTION2]]="","",A272+1)</f>
        <v>272</v>
      </c>
      <c r="B273" t="s">
        <v>577</v>
      </c>
      <c r="C273" t="s">
        <v>578</v>
      </c>
      <c r="D273" t="s">
        <v>294</v>
      </c>
      <c r="E273" t="s">
        <v>393</v>
      </c>
      <c r="F273" s="50">
        <v>0</v>
      </c>
      <c r="G273" s="44">
        <f>SUMIFS(TRANSACTION!D:D,TRANSACTION!C:C,Table1[[#This Row],[DESCRIPTION2]])</f>
        <v>5</v>
      </c>
      <c r="H273">
        <f>SUMIFS(TRANSACTION!$E:$E,TRANSACTION!$C:$C,Table1[[#This Row],[DESCRIPTION2]])</f>
        <v>5</v>
      </c>
      <c r="I273" s="42">
        <f>Table1[[#This Row],[OPENING]]+Table1[[#This Row],[RECEIPT]]-Table1[[#This Row],[ISSUANCE]]</f>
        <v>0</v>
      </c>
    </row>
    <row r="274" spans="1:9" x14ac:dyDescent="0.25">
      <c r="A274" s="35">
        <f>IF(Table1[[#This Row],[DESCRIPTION2]]="","",A273+1)</f>
        <v>273</v>
      </c>
      <c r="B274" t="s">
        <v>579</v>
      </c>
      <c r="C274" t="s">
        <v>336</v>
      </c>
      <c r="D274" t="s">
        <v>181</v>
      </c>
      <c r="E274" t="s">
        <v>393</v>
      </c>
      <c r="F274" s="50">
        <v>0</v>
      </c>
      <c r="G274" s="44">
        <f>SUMIFS(TRANSACTION!D:D,TRANSACTION!C:C,Table1[[#This Row],[DESCRIPTION2]])</f>
        <v>60</v>
      </c>
      <c r="H274">
        <f>SUMIFS(TRANSACTION!$E:$E,TRANSACTION!$C:$C,Table1[[#This Row],[DESCRIPTION2]])</f>
        <v>15</v>
      </c>
      <c r="I274" s="42">
        <f>Table1[[#This Row],[OPENING]]+Table1[[#This Row],[RECEIPT]]-Table1[[#This Row],[ISSUANCE]]</f>
        <v>45</v>
      </c>
    </row>
    <row r="275" spans="1:9" x14ac:dyDescent="0.25">
      <c r="A275" s="35">
        <f>IF(Table1[[#This Row],[DESCRIPTION2]]="","",A274+1)</f>
        <v>274</v>
      </c>
      <c r="B275" t="s">
        <v>580</v>
      </c>
      <c r="C275" t="s">
        <v>581</v>
      </c>
      <c r="D275" t="s">
        <v>156</v>
      </c>
      <c r="E275" t="s">
        <v>393</v>
      </c>
      <c r="F275" s="50">
        <v>0</v>
      </c>
      <c r="G275" s="44">
        <f>SUMIFS(TRANSACTION!D:D,TRANSACTION!C:C,Table1[[#This Row],[DESCRIPTION2]])</f>
        <v>30</v>
      </c>
      <c r="H275">
        <f>SUMIFS(TRANSACTION!$E:$E,TRANSACTION!$C:$C,Table1[[#This Row],[DESCRIPTION2]])</f>
        <v>30</v>
      </c>
      <c r="I275" s="42">
        <f>Table1[[#This Row],[OPENING]]+Table1[[#This Row],[RECEIPT]]-Table1[[#This Row],[ISSUANCE]]</f>
        <v>0</v>
      </c>
    </row>
    <row r="276" spans="1:9" x14ac:dyDescent="0.25">
      <c r="A276" s="35">
        <f>IF(Table1[[#This Row],[DESCRIPTION2]]="","",A275+1)</f>
        <v>275</v>
      </c>
      <c r="B276" t="s">
        <v>582</v>
      </c>
      <c r="C276" t="s">
        <v>163</v>
      </c>
      <c r="D276" t="s">
        <v>181</v>
      </c>
      <c r="E276" t="s">
        <v>393</v>
      </c>
      <c r="F276" s="50">
        <v>0</v>
      </c>
      <c r="G276" s="44">
        <f>SUMIFS(TRANSACTION!D:D,TRANSACTION!C:C,Table1[[#This Row],[DESCRIPTION2]])</f>
        <v>10</v>
      </c>
      <c r="H276">
        <f>SUMIFS(TRANSACTION!$E:$E,TRANSACTION!$C:$C,Table1[[#This Row],[DESCRIPTION2]])</f>
        <v>1</v>
      </c>
      <c r="I276" s="42">
        <f>Table1[[#This Row],[OPENING]]+Table1[[#This Row],[RECEIPT]]-Table1[[#This Row],[ISSUANCE]]</f>
        <v>9</v>
      </c>
    </row>
    <row r="277" spans="1:9" x14ac:dyDescent="0.25">
      <c r="A277" s="35">
        <f>IF(Table1[[#This Row],[DESCRIPTION2]]="","",A276+1)</f>
        <v>276</v>
      </c>
      <c r="B277" t="s">
        <v>583</v>
      </c>
      <c r="C277" t="s">
        <v>584</v>
      </c>
      <c r="D277" t="s">
        <v>181</v>
      </c>
      <c r="E277" t="s">
        <v>393</v>
      </c>
      <c r="F277" s="50">
        <v>0</v>
      </c>
      <c r="G277" s="44">
        <f>SUMIFS(TRANSACTION!D:D,TRANSACTION!C:C,Table1[[#This Row],[DESCRIPTION2]])</f>
        <v>20</v>
      </c>
      <c r="H277">
        <f>SUMIFS(TRANSACTION!$E:$E,TRANSACTION!$C:$C,Table1[[#This Row],[DESCRIPTION2]])</f>
        <v>5</v>
      </c>
      <c r="I277" s="42">
        <f>Table1[[#This Row],[OPENING]]+Table1[[#This Row],[RECEIPT]]-Table1[[#This Row],[ISSUANCE]]</f>
        <v>15</v>
      </c>
    </row>
    <row r="278" spans="1:9" x14ac:dyDescent="0.25">
      <c r="A278" s="35">
        <f>IF(Table1[[#This Row],[DESCRIPTION2]]="","",A277+1)</f>
        <v>277</v>
      </c>
      <c r="B278" t="s">
        <v>585</v>
      </c>
      <c r="C278" t="s">
        <v>584</v>
      </c>
      <c r="D278" t="s">
        <v>181</v>
      </c>
      <c r="E278" t="s">
        <v>393</v>
      </c>
      <c r="F278" s="50">
        <v>0</v>
      </c>
      <c r="G278" s="44">
        <f>SUMIFS(TRANSACTION!D:D,TRANSACTION!C:C,Table1[[#This Row],[DESCRIPTION2]])</f>
        <v>20</v>
      </c>
      <c r="H278">
        <f>SUMIFS(TRANSACTION!$E:$E,TRANSACTION!$C:$C,Table1[[#This Row],[DESCRIPTION2]])</f>
        <v>5</v>
      </c>
      <c r="I278" s="42">
        <f>Table1[[#This Row],[OPENING]]+Table1[[#This Row],[RECEIPT]]-Table1[[#This Row],[ISSUANCE]]</f>
        <v>15</v>
      </c>
    </row>
    <row r="279" spans="1:9" x14ac:dyDescent="0.25">
      <c r="A279" s="35">
        <f>IF(Table1[[#This Row],[DESCRIPTION2]]="","",A278+1)</f>
        <v>278</v>
      </c>
      <c r="B279" t="s">
        <v>586</v>
      </c>
      <c r="C279" t="s">
        <v>587</v>
      </c>
      <c r="D279" t="s">
        <v>156</v>
      </c>
      <c r="E279" t="s">
        <v>393</v>
      </c>
      <c r="F279" s="50">
        <v>0</v>
      </c>
      <c r="G279" s="44">
        <f>SUMIFS(TRANSACTION!D:D,TRANSACTION!C:C,Table1[[#This Row],[DESCRIPTION2]])</f>
        <v>20</v>
      </c>
      <c r="H279">
        <f>SUMIFS(TRANSACTION!$E:$E,TRANSACTION!$C:$C,Table1[[#This Row],[DESCRIPTION2]])</f>
        <v>20</v>
      </c>
      <c r="I279" s="42">
        <f>Table1[[#This Row],[OPENING]]+Table1[[#This Row],[RECEIPT]]-Table1[[#This Row],[ISSUANCE]]</f>
        <v>0</v>
      </c>
    </row>
    <row r="280" spans="1:9" x14ac:dyDescent="0.25">
      <c r="A280" s="35">
        <f>IF(Table1[[#This Row],[DESCRIPTION2]]="","",A279+1)</f>
        <v>279</v>
      </c>
      <c r="B280" t="s">
        <v>588</v>
      </c>
      <c r="C280" t="s">
        <v>589</v>
      </c>
      <c r="D280" t="s">
        <v>181</v>
      </c>
      <c r="E280" t="s">
        <v>393</v>
      </c>
      <c r="F280" s="50">
        <v>0</v>
      </c>
      <c r="G280" s="44">
        <f>SUMIFS(TRANSACTION!D:D,TRANSACTION!C:C,Table1[[#This Row],[DESCRIPTION2]])</f>
        <v>150</v>
      </c>
      <c r="H280">
        <f>SUMIFS(TRANSACTION!$E:$E,TRANSACTION!$C:$C,Table1[[#This Row],[DESCRIPTION2]])</f>
        <v>110</v>
      </c>
      <c r="I280" s="42">
        <f>Table1[[#This Row],[OPENING]]+Table1[[#This Row],[RECEIPT]]-Table1[[#This Row],[ISSUANCE]]</f>
        <v>40</v>
      </c>
    </row>
    <row r="281" spans="1:9" x14ac:dyDescent="0.25">
      <c r="A281" s="35">
        <f>IF(Table1[[#This Row],[DESCRIPTION2]]="","",A280+1)</f>
        <v>280</v>
      </c>
      <c r="B281" t="s">
        <v>590</v>
      </c>
      <c r="C281" t="s">
        <v>591</v>
      </c>
      <c r="D281" t="s">
        <v>430</v>
      </c>
      <c r="E281" t="s">
        <v>393</v>
      </c>
      <c r="F281" s="50">
        <v>0</v>
      </c>
      <c r="G281" s="44">
        <f>SUMIFS(TRANSACTION!D:D,TRANSACTION!C:C,Table1[[#This Row],[DESCRIPTION2]])</f>
        <v>20</v>
      </c>
      <c r="H281">
        <f>SUMIFS(TRANSACTION!$E:$E,TRANSACTION!$C:$C,Table1[[#This Row],[DESCRIPTION2]])</f>
        <v>10</v>
      </c>
      <c r="I281" s="42">
        <f>Table1[[#This Row],[OPENING]]+Table1[[#This Row],[RECEIPT]]-Table1[[#This Row],[ISSUANCE]]</f>
        <v>10</v>
      </c>
    </row>
    <row r="282" spans="1:9" x14ac:dyDescent="0.25">
      <c r="A282" s="35">
        <f>IF(Table1[[#This Row],[DESCRIPTION2]]="","",A281+1)</f>
        <v>281</v>
      </c>
      <c r="B282" t="s">
        <v>593</v>
      </c>
      <c r="C282" t="s">
        <v>594</v>
      </c>
      <c r="D282" t="s">
        <v>109</v>
      </c>
      <c r="E282" t="s">
        <v>393</v>
      </c>
      <c r="F282" s="50">
        <v>0</v>
      </c>
      <c r="G282" s="44">
        <f>SUMIFS(TRANSACTION!D:D,TRANSACTION!C:C,Table1[[#This Row],[DESCRIPTION2]])</f>
        <v>100</v>
      </c>
      <c r="H282">
        <f>SUMIFS(TRANSACTION!$E:$E,TRANSACTION!$C:$C,Table1[[#This Row],[DESCRIPTION2]])</f>
        <v>60</v>
      </c>
      <c r="I282" s="42">
        <f>Table1[[#This Row],[OPENING]]+Table1[[#This Row],[RECEIPT]]-Table1[[#This Row],[ISSUANCE]]</f>
        <v>40</v>
      </c>
    </row>
    <row r="283" spans="1:9" x14ac:dyDescent="0.25">
      <c r="A283" s="35">
        <f>IF(Table1[[#This Row],[DESCRIPTION2]]="","",A282+1)</f>
        <v>282</v>
      </c>
      <c r="B283" t="s">
        <v>596</v>
      </c>
      <c r="C283" t="s">
        <v>597</v>
      </c>
      <c r="D283" t="s">
        <v>161</v>
      </c>
      <c r="E283" t="s">
        <v>393</v>
      </c>
      <c r="F283" s="50">
        <v>0</v>
      </c>
      <c r="G283" s="44">
        <f>SUMIFS(TRANSACTION!D:D,TRANSACTION!C:C,Table1[[#This Row],[DESCRIPTION2]])</f>
        <v>120</v>
      </c>
      <c r="H283">
        <f>SUMIFS(TRANSACTION!$E:$E,TRANSACTION!$C:$C,Table1[[#This Row],[DESCRIPTION2]])</f>
        <v>40</v>
      </c>
      <c r="I283" s="42">
        <f>Table1[[#This Row],[OPENING]]+Table1[[#This Row],[RECEIPT]]-Table1[[#This Row],[ISSUANCE]]</f>
        <v>80</v>
      </c>
    </row>
    <row r="284" spans="1:9" x14ac:dyDescent="0.25">
      <c r="A284" s="35">
        <f>IF(Table1[[#This Row],[DESCRIPTION2]]="","",A283+1)</f>
        <v>283</v>
      </c>
      <c r="B284" t="s">
        <v>599</v>
      </c>
      <c r="C284" t="s">
        <v>428</v>
      </c>
      <c r="D284" t="s">
        <v>260</v>
      </c>
      <c r="E284" t="s">
        <v>393</v>
      </c>
      <c r="F284" s="50">
        <v>0</v>
      </c>
      <c r="G284" s="44">
        <f>SUMIFS(TRANSACTION!D:D,TRANSACTION!C:C,Table1[[#This Row],[DESCRIPTION2]])</f>
        <v>350</v>
      </c>
      <c r="H284">
        <f>SUMIFS(TRANSACTION!$E:$E,TRANSACTION!$C:$C,Table1[[#This Row],[DESCRIPTION2]])</f>
        <v>350</v>
      </c>
      <c r="I284" s="42">
        <f>Table1[[#This Row],[OPENING]]+Table1[[#This Row],[RECEIPT]]-Table1[[#This Row],[ISSUANCE]]</f>
        <v>0</v>
      </c>
    </row>
    <row r="285" spans="1:9" x14ac:dyDescent="0.25">
      <c r="A285" s="35">
        <f>IF(Table1[[#This Row],[DESCRIPTION2]]="","",A284+1)</f>
        <v>284</v>
      </c>
      <c r="B285" t="s">
        <v>600</v>
      </c>
      <c r="C285" t="s">
        <v>601</v>
      </c>
      <c r="D285" t="s">
        <v>156</v>
      </c>
      <c r="E285" t="s">
        <v>393</v>
      </c>
      <c r="F285" s="50">
        <v>0</v>
      </c>
      <c r="G285" s="44">
        <f>SUMIFS(TRANSACTION!D:D,TRANSACTION!C:C,Table1[[#This Row],[DESCRIPTION2]])</f>
        <v>50</v>
      </c>
      <c r="H285">
        <f>SUMIFS(TRANSACTION!$E:$E,TRANSACTION!$C:$C,Table1[[#This Row],[DESCRIPTION2]])</f>
        <v>25</v>
      </c>
      <c r="I285" s="42">
        <f>Table1[[#This Row],[OPENING]]+Table1[[#This Row],[RECEIPT]]-Table1[[#This Row],[ISSUANCE]]</f>
        <v>25</v>
      </c>
    </row>
    <row r="286" spans="1:9" x14ac:dyDescent="0.25">
      <c r="A286" s="35">
        <f>IF(Table1[[#This Row],[DESCRIPTION2]]="","",A285+1)</f>
        <v>285</v>
      </c>
      <c r="B286" t="s">
        <v>602</v>
      </c>
      <c r="C286" t="s">
        <v>308</v>
      </c>
      <c r="D286" t="s">
        <v>398</v>
      </c>
      <c r="E286" t="s">
        <v>393</v>
      </c>
      <c r="F286" s="50">
        <v>0</v>
      </c>
      <c r="G286" s="44">
        <f>SUMIFS(TRANSACTION!D:D,TRANSACTION!C:C,Table1[[#This Row],[DESCRIPTION2]])</f>
        <v>75</v>
      </c>
      <c r="H286">
        <f>SUMIFS(TRANSACTION!$E:$E,TRANSACTION!$C:$C,Table1[[#This Row],[DESCRIPTION2]])</f>
        <v>55</v>
      </c>
      <c r="I286" s="42">
        <f>Table1[[#This Row],[OPENING]]+Table1[[#This Row],[RECEIPT]]-Table1[[#This Row],[ISSUANCE]]</f>
        <v>20</v>
      </c>
    </row>
    <row r="287" spans="1:9" x14ac:dyDescent="0.25">
      <c r="A287" s="35">
        <f>IF(Table1[[#This Row],[DESCRIPTION2]]="","",A286+1)</f>
        <v>286</v>
      </c>
      <c r="B287" t="s">
        <v>603</v>
      </c>
      <c r="C287" t="s">
        <v>428</v>
      </c>
      <c r="D287" t="s">
        <v>294</v>
      </c>
      <c r="E287" t="s">
        <v>393</v>
      </c>
      <c r="F287" s="50">
        <v>0</v>
      </c>
      <c r="G287" s="44">
        <f>SUMIFS(TRANSACTION!D:D,TRANSACTION!C:C,Table1[[#This Row],[DESCRIPTION2]])</f>
        <v>360</v>
      </c>
      <c r="H287">
        <f>SUMIFS(TRANSACTION!$E:$E,TRANSACTION!$C:$C,Table1[[#This Row],[DESCRIPTION2]])</f>
        <v>360</v>
      </c>
      <c r="I287" s="42">
        <f>Table1[[#This Row],[OPENING]]+Table1[[#This Row],[RECEIPT]]-Table1[[#This Row],[ISSUANCE]]</f>
        <v>0</v>
      </c>
    </row>
    <row r="288" spans="1:9" x14ac:dyDescent="0.25">
      <c r="A288" s="35">
        <f>IF(Table1[[#This Row],[DESCRIPTION2]]="","",A287+1)</f>
        <v>287</v>
      </c>
      <c r="B288" t="s">
        <v>604</v>
      </c>
      <c r="C288" t="s">
        <v>605</v>
      </c>
      <c r="D288" t="s">
        <v>156</v>
      </c>
      <c r="E288" t="s">
        <v>393</v>
      </c>
      <c r="F288" s="50">
        <v>0</v>
      </c>
      <c r="G288" s="44">
        <f>SUMIFS(TRANSACTION!D:D,TRANSACTION!C:C,Table1[[#This Row],[DESCRIPTION2]])</f>
        <v>100</v>
      </c>
      <c r="H288">
        <f>SUMIFS(TRANSACTION!$E:$E,TRANSACTION!$C:$C,Table1[[#This Row],[DESCRIPTION2]])</f>
        <v>50</v>
      </c>
      <c r="I288" s="42">
        <f>Table1[[#This Row],[OPENING]]+Table1[[#This Row],[RECEIPT]]-Table1[[#This Row],[ISSUANCE]]</f>
        <v>50</v>
      </c>
    </row>
    <row r="289" spans="1:9" x14ac:dyDescent="0.25">
      <c r="A289" s="35">
        <f>IF(Table1[[#This Row],[DESCRIPTION2]]="","",A288+1)</f>
        <v>288</v>
      </c>
      <c r="B289" t="s">
        <v>606</v>
      </c>
      <c r="C289" t="s">
        <v>337</v>
      </c>
      <c r="D289" t="s">
        <v>181</v>
      </c>
      <c r="E289" t="s">
        <v>393</v>
      </c>
      <c r="F289" s="50">
        <v>0</v>
      </c>
      <c r="G289" s="44">
        <f>SUMIFS(TRANSACTION!D:D,TRANSACTION!C:C,Table1[[#This Row],[DESCRIPTION2]])</f>
        <v>40</v>
      </c>
      <c r="H289">
        <f>SUMIFS(TRANSACTION!$E:$E,TRANSACTION!$C:$C,Table1[[#This Row],[DESCRIPTION2]])</f>
        <v>10</v>
      </c>
      <c r="I289" s="42">
        <f>Table1[[#This Row],[OPENING]]+Table1[[#This Row],[RECEIPT]]-Table1[[#This Row],[ISSUANCE]]</f>
        <v>30</v>
      </c>
    </row>
    <row r="290" spans="1:9" x14ac:dyDescent="0.25">
      <c r="A290" s="35">
        <f>IF(Table1[[#This Row],[DESCRIPTION2]]="","",A289+1)</f>
        <v>289</v>
      </c>
      <c r="B290" t="s">
        <v>607</v>
      </c>
      <c r="C290" t="s">
        <v>337</v>
      </c>
      <c r="D290" t="s">
        <v>181</v>
      </c>
      <c r="E290" t="s">
        <v>393</v>
      </c>
      <c r="F290" s="50">
        <v>0</v>
      </c>
      <c r="G290" s="44">
        <f>SUMIFS(TRANSACTION!D:D,TRANSACTION!C:C,Table1[[#This Row],[DESCRIPTION2]])</f>
        <v>30</v>
      </c>
      <c r="H290">
        <f>SUMIFS(TRANSACTION!$E:$E,TRANSACTION!$C:$C,Table1[[#This Row],[DESCRIPTION2]])</f>
        <v>0</v>
      </c>
      <c r="I290" s="42">
        <f>Table1[[#This Row],[OPENING]]+Table1[[#This Row],[RECEIPT]]-Table1[[#This Row],[ISSUANCE]]</f>
        <v>30</v>
      </c>
    </row>
    <row r="291" spans="1:9" x14ac:dyDescent="0.25">
      <c r="A291" s="35">
        <f>IF(Table1[[#This Row],[DESCRIPTION2]]="","",A290+1)</f>
        <v>290</v>
      </c>
      <c r="B291" t="s">
        <v>608</v>
      </c>
      <c r="C291" t="s">
        <v>609</v>
      </c>
      <c r="D291" t="s">
        <v>181</v>
      </c>
      <c r="E291" t="s">
        <v>393</v>
      </c>
      <c r="F291" s="50">
        <v>0</v>
      </c>
      <c r="G291" s="44">
        <f>SUMIFS(TRANSACTION!D:D,TRANSACTION!C:C,Table1[[#This Row],[DESCRIPTION2]])</f>
        <v>90</v>
      </c>
      <c r="H291">
        <f>SUMIFS(TRANSACTION!$E:$E,TRANSACTION!$C:$C,Table1[[#This Row],[DESCRIPTION2]])</f>
        <v>40</v>
      </c>
      <c r="I291" s="42">
        <f>Table1[[#This Row],[OPENING]]+Table1[[#This Row],[RECEIPT]]-Table1[[#This Row],[ISSUANCE]]</f>
        <v>50</v>
      </c>
    </row>
    <row r="292" spans="1:9" x14ac:dyDescent="0.25">
      <c r="A292" s="35">
        <f>IF(Table1[[#This Row],[DESCRIPTION2]]="","",A291+1)</f>
        <v>291</v>
      </c>
      <c r="B292" t="s">
        <v>610</v>
      </c>
      <c r="C292" t="s">
        <v>609</v>
      </c>
      <c r="D292" t="s">
        <v>181</v>
      </c>
      <c r="E292" t="s">
        <v>393</v>
      </c>
      <c r="F292" s="50">
        <v>0</v>
      </c>
      <c r="G292" s="44">
        <f>SUMIFS(TRANSACTION!D:D,TRANSACTION!C:C,Table1[[#This Row],[DESCRIPTION2]])</f>
        <v>50</v>
      </c>
      <c r="H292">
        <f>SUMIFS(TRANSACTION!$E:$E,TRANSACTION!$C:$C,Table1[[#This Row],[DESCRIPTION2]])</f>
        <v>20</v>
      </c>
      <c r="I292" s="42">
        <f>Table1[[#This Row],[OPENING]]+Table1[[#This Row],[RECEIPT]]-Table1[[#This Row],[ISSUANCE]]</f>
        <v>30</v>
      </c>
    </row>
    <row r="293" spans="1:9" x14ac:dyDescent="0.25">
      <c r="A293" s="35">
        <f>IF(Table1[[#This Row],[DESCRIPTION2]]="","",A292+1)</f>
        <v>292</v>
      </c>
      <c r="B293" t="s">
        <v>611</v>
      </c>
      <c r="C293" t="s">
        <v>345</v>
      </c>
      <c r="D293" t="s">
        <v>181</v>
      </c>
      <c r="E293" t="s">
        <v>393</v>
      </c>
      <c r="F293" s="50">
        <v>0</v>
      </c>
      <c r="G293" s="44">
        <f>SUMIFS(TRANSACTION!D:D,TRANSACTION!C:C,Table1[[#This Row],[DESCRIPTION2]])</f>
        <v>100</v>
      </c>
      <c r="H293">
        <f>SUMIFS(TRANSACTION!$E:$E,TRANSACTION!$C:$C,Table1[[#This Row],[DESCRIPTION2]])</f>
        <v>30</v>
      </c>
      <c r="I293" s="42">
        <f>Table1[[#This Row],[OPENING]]+Table1[[#This Row],[RECEIPT]]-Table1[[#This Row],[ISSUANCE]]</f>
        <v>70</v>
      </c>
    </row>
    <row r="294" spans="1:9" x14ac:dyDescent="0.25">
      <c r="A294" s="35">
        <f>IF(Table1[[#This Row],[DESCRIPTION2]]="","",A293+1)</f>
        <v>293</v>
      </c>
      <c r="B294" t="s">
        <v>612</v>
      </c>
      <c r="C294" t="s">
        <v>345</v>
      </c>
      <c r="D294" t="s">
        <v>181</v>
      </c>
      <c r="E294" t="s">
        <v>393</v>
      </c>
      <c r="F294" s="50">
        <v>0</v>
      </c>
      <c r="G294" s="44">
        <f>SUMIFS(TRANSACTION!D:D,TRANSACTION!C:C,Table1[[#This Row],[DESCRIPTION2]])</f>
        <v>30</v>
      </c>
      <c r="H294">
        <f>SUMIFS(TRANSACTION!$E:$E,TRANSACTION!$C:$C,Table1[[#This Row],[DESCRIPTION2]])</f>
        <v>10</v>
      </c>
      <c r="I294" s="42">
        <f>Table1[[#This Row],[OPENING]]+Table1[[#This Row],[RECEIPT]]-Table1[[#This Row],[ISSUANCE]]</f>
        <v>20</v>
      </c>
    </row>
    <row r="295" spans="1:9" x14ac:dyDescent="0.25">
      <c r="A295" s="35">
        <f>IF(Table1[[#This Row],[DESCRIPTION2]]="","",A294+1)</f>
        <v>294</v>
      </c>
      <c r="B295" t="s">
        <v>613</v>
      </c>
      <c r="C295" t="s">
        <v>362</v>
      </c>
      <c r="D295" t="s">
        <v>181</v>
      </c>
      <c r="E295" t="s">
        <v>393</v>
      </c>
      <c r="F295" s="50">
        <v>0</v>
      </c>
      <c r="G295" s="44">
        <f>SUMIFS(TRANSACTION!D:D,TRANSACTION!C:C,Table1[[#This Row],[DESCRIPTION2]])</f>
        <v>50</v>
      </c>
      <c r="H295">
        <f>SUMIFS(TRANSACTION!$E:$E,TRANSACTION!$C:$C,Table1[[#This Row],[DESCRIPTION2]])</f>
        <v>20</v>
      </c>
      <c r="I295" s="42">
        <f>Table1[[#This Row],[OPENING]]+Table1[[#This Row],[RECEIPT]]-Table1[[#This Row],[ISSUANCE]]</f>
        <v>30</v>
      </c>
    </row>
    <row r="296" spans="1:9" x14ac:dyDescent="0.25">
      <c r="A296" s="35">
        <f>IF(Table1[[#This Row],[DESCRIPTION2]]="","",A295+1)</f>
        <v>295</v>
      </c>
      <c r="B296" t="s">
        <v>614</v>
      </c>
      <c r="C296" t="s">
        <v>305</v>
      </c>
      <c r="D296" t="s">
        <v>398</v>
      </c>
      <c r="E296" t="s">
        <v>393</v>
      </c>
      <c r="F296" s="50">
        <v>0</v>
      </c>
      <c r="G296" s="44">
        <f>SUMIFS(TRANSACTION!D:D,TRANSACTION!C:C,Table1[[#This Row],[DESCRIPTION2]])</f>
        <v>105</v>
      </c>
      <c r="H296">
        <f>SUMIFS(TRANSACTION!$E:$E,TRANSACTION!$C:$C,Table1[[#This Row],[DESCRIPTION2]])</f>
        <v>31</v>
      </c>
      <c r="I296" s="42">
        <f>Table1[[#This Row],[OPENING]]+Table1[[#This Row],[RECEIPT]]-Table1[[#This Row],[ISSUANCE]]</f>
        <v>74</v>
      </c>
    </row>
    <row r="297" spans="1:9" x14ac:dyDescent="0.25">
      <c r="A297" s="35">
        <f>IF(Table1[[#This Row],[DESCRIPTION2]]="","",A296+1)</f>
        <v>296</v>
      </c>
      <c r="B297" t="s">
        <v>615</v>
      </c>
      <c r="C297" t="s">
        <v>182</v>
      </c>
      <c r="D297" t="s">
        <v>156</v>
      </c>
      <c r="E297" t="s">
        <v>393</v>
      </c>
      <c r="F297" s="50">
        <v>0</v>
      </c>
      <c r="G297" s="44">
        <f>SUMIFS(TRANSACTION!D:D,TRANSACTION!C:C,Table1[[#This Row],[DESCRIPTION2]])</f>
        <v>100</v>
      </c>
      <c r="H297">
        <f>SUMIFS(TRANSACTION!$E:$E,TRANSACTION!$C:$C,Table1[[#This Row],[DESCRIPTION2]])</f>
        <v>5</v>
      </c>
      <c r="I297" s="42">
        <f>Table1[[#This Row],[OPENING]]+Table1[[#This Row],[RECEIPT]]-Table1[[#This Row],[ISSUANCE]]</f>
        <v>95</v>
      </c>
    </row>
    <row r="298" spans="1:9" x14ac:dyDescent="0.25">
      <c r="A298" s="35">
        <f>IF(Table1[[#This Row],[DESCRIPTION2]]="","",A297+1)</f>
        <v>297</v>
      </c>
      <c r="B298" t="s">
        <v>616</v>
      </c>
      <c r="C298" t="s">
        <v>192</v>
      </c>
      <c r="D298" t="s">
        <v>156</v>
      </c>
      <c r="E298" t="s">
        <v>393</v>
      </c>
      <c r="F298" s="50">
        <v>0</v>
      </c>
      <c r="G298" s="44">
        <f>SUMIFS(TRANSACTION!D:D,TRANSACTION!C:C,Table1[[#This Row],[DESCRIPTION2]])</f>
        <v>50</v>
      </c>
      <c r="H298">
        <f>SUMIFS(TRANSACTION!$E:$E,TRANSACTION!$C:$C,Table1[[#This Row],[DESCRIPTION2]])</f>
        <v>22</v>
      </c>
      <c r="I298" s="42">
        <f>Table1[[#This Row],[OPENING]]+Table1[[#This Row],[RECEIPT]]-Table1[[#This Row],[ISSUANCE]]</f>
        <v>28</v>
      </c>
    </row>
    <row r="299" spans="1:9" x14ac:dyDescent="0.25">
      <c r="A299" s="35">
        <f>IF(Table1[[#This Row],[DESCRIPTION2]]="","",A298+1)</f>
        <v>298</v>
      </c>
      <c r="B299" t="s">
        <v>617</v>
      </c>
      <c r="C299" t="s">
        <v>618</v>
      </c>
      <c r="D299" t="s">
        <v>156</v>
      </c>
      <c r="E299" t="s">
        <v>393</v>
      </c>
      <c r="F299" s="50">
        <v>0</v>
      </c>
      <c r="G299" s="44">
        <f>SUMIFS(TRANSACTION!D:D,TRANSACTION!C:C,Table1[[#This Row],[DESCRIPTION2]])</f>
        <v>50</v>
      </c>
      <c r="H299">
        <f>SUMIFS(TRANSACTION!$E:$E,TRANSACTION!$C:$C,Table1[[#This Row],[DESCRIPTION2]])</f>
        <v>50</v>
      </c>
      <c r="I299" s="42">
        <f>Table1[[#This Row],[OPENING]]+Table1[[#This Row],[RECEIPT]]-Table1[[#This Row],[ISSUANCE]]</f>
        <v>0</v>
      </c>
    </row>
    <row r="300" spans="1:9" x14ac:dyDescent="0.25">
      <c r="A300" s="35">
        <f>IF(Table1[[#This Row],[DESCRIPTION2]]="","",A299+1)</f>
        <v>299</v>
      </c>
      <c r="B300" t="s">
        <v>619</v>
      </c>
      <c r="C300" t="s">
        <v>618</v>
      </c>
      <c r="D300" t="s">
        <v>156</v>
      </c>
      <c r="E300" t="s">
        <v>393</v>
      </c>
      <c r="F300" s="50">
        <v>0</v>
      </c>
      <c r="G300" s="44">
        <f>SUMIFS(TRANSACTION!D:D,TRANSACTION!C:C,Table1[[#This Row],[DESCRIPTION2]])</f>
        <v>50</v>
      </c>
      <c r="H300">
        <f>SUMIFS(TRANSACTION!$E:$E,TRANSACTION!$C:$C,Table1[[#This Row],[DESCRIPTION2]])</f>
        <v>45</v>
      </c>
      <c r="I300" s="42">
        <f>Table1[[#This Row],[OPENING]]+Table1[[#This Row],[RECEIPT]]-Table1[[#This Row],[ISSUANCE]]</f>
        <v>5</v>
      </c>
    </row>
    <row r="301" spans="1:9" x14ac:dyDescent="0.25">
      <c r="A301" s="35">
        <f>IF(Table1[[#This Row],[DESCRIPTION2]]="","",A300+1)</f>
        <v>300</v>
      </c>
      <c r="B301" t="s">
        <v>620</v>
      </c>
      <c r="C301" t="s">
        <v>618</v>
      </c>
      <c r="D301" t="s">
        <v>156</v>
      </c>
      <c r="E301" t="s">
        <v>393</v>
      </c>
      <c r="F301" s="50">
        <v>0</v>
      </c>
      <c r="G301" s="44">
        <f>SUMIFS(TRANSACTION!D:D,TRANSACTION!C:C,Table1[[#This Row],[DESCRIPTION2]])</f>
        <v>50</v>
      </c>
      <c r="H301">
        <f>SUMIFS(TRANSACTION!$E:$E,TRANSACTION!$C:$C,Table1[[#This Row],[DESCRIPTION2]])</f>
        <v>15</v>
      </c>
      <c r="I301" s="42">
        <f>Table1[[#This Row],[OPENING]]+Table1[[#This Row],[RECEIPT]]-Table1[[#This Row],[ISSUANCE]]</f>
        <v>35</v>
      </c>
    </row>
    <row r="302" spans="1:9" x14ac:dyDescent="0.25">
      <c r="A302" s="35">
        <f>IF(Table1[[#This Row],[DESCRIPTION2]]="","",A301+1)</f>
        <v>301</v>
      </c>
      <c r="B302" t="s">
        <v>621</v>
      </c>
      <c r="C302" t="s">
        <v>622</v>
      </c>
      <c r="D302" t="s">
        <v>162</v>
      </c>
      <c r="E302" t="s">
        <v>393</v>
      </c>
      <c r="F302" s="50">
        <v>0</v>
      </c>
      <c r="G302" s="44">
        <f>SUMIFS(TRANSACTION!D:D,TRANSACTION!C:C,Table1[[#This Row],[DESCRIPTION2]])</f>
        <v>30</v>
      </c>
      <c r="H302">
        <f>SUMIFS(TRANSACTION!$E:$E,TRANSACTION!$C:$C,Table1[[#This Row],[DESCRIPTION2]])</f>
        <v>5</v>
      </c>
      <c r="I302" s="42">
        <f>Table1[[#This Row],[OPENING]]+Table1[[#This Row],[RECEIPT]]-Table1[[#This Row],[ISSUANCE]]</f>
        <v>25</v>
      </c>
    </row>
    <row r="303" spans="1:9" x14ac:dyDescent="0.25">
      <c r="A303" s="35">
        <f>IF(Table1[[#This Row],[DESCRIPTION2]]="","",A302+1)</f>
        <v>302</v>
      </c>
      <c r="B303" t="s">
        <v>623</v>
      </c>
      <c r="C303" t="s">
        <v>382</v>
      </c>
      <c r="D303" t="s">
        <v>294</v>
      </c>
      <c r="E303" t="s">
        <v>393</v>
      </c>
      <c r="F303" s="50">
        <v>0</v>
      </c>
      <c r="G303" s="44">
        <f>SUMIFS(TRANSACTION!D:D,TRANSACTION!C:C,Table1[[#This Row],[DESCRIPTION2]])</f>
        <v>2</v>
      </c>
      <c r="H303">
        <f>SUMIFS(TRANSACTION!$E:$E,TRANSACTION!$C:$C,Table1[[#This Row],[DESCRIPTION2]])</f>
        <v>1</v>
      </c>
      <c r="I303" s="42">
        <f>Table1[[#This Row],[OPENING]]+Table1[[#This Row],[RECEIPT]]-Table1[[#This Row],[ISSUANCE]]</f>
        <v>1</v>
      </c>
    </row>
    <row r="304" spans="1:9" x14ac:dyDescent="0.25">
      <c r="A304" s="35">
        <f>IF(Table1[[#This Row],[DESCRIPTION2]]="","",A303+1)</f>
        <v>303</v>
      </c>
      <c r="B304" t="s">
        <v>624</v>
      </c>
      <c r="C304" t="s">
        <v>457</v>
      </c>
      <c r="D304" t="s">
        <v>156</v>
      </c>
      <c r="E304" t="s">
        <v>393</v>
      </c>
      <c r="F304" s="50">
        <v>0</v>
      </c>
      <c r="G304" s="44">
        <f>SUMIFS(TRANSACTION!D:D,TRANSACTION!C:C,Table1[[#This Row],[DESCRIPTION2]])</f>
        <v>176</v>
      </c>
      <c r="H304">
        <f>SUMIFS(TRANSACTION!$E:$E,TRANSACTION!$C:$C,Table1[[#This Row],[DESCRIPTION2]])</f>
        <v>105</v>
      </c>
      <c r="I304" s="42">
        <f>Table1[[#This Row],[OPENING]]+Table1[[#This Row],[RECEIPT]]-Table1[[#This Row],[ISSUANCE]]</f>
        <v>71</v>
      </c>
    </row>
    <row r="305" spans="1:9" x14ac:dyDescent="0.25">
      <c r="A305" s="35">
        <f>IF(Table1[[#This Row],[DESCRIPTION2]]="","",A304+1)</f>
        <v>304</v>
      </c>
      <c r="B305" t="s">
        <v>625</v>
      </c>
      <c r="C305" t="s">
        <v>626</v>
      </c>
      <c r="D305" t="s">
        <v>156</v>
      </c>
      <c r="E305" t="s">
        <v>393</v>
      </c>
      <c r="F305" s="50">
        <v>0</v>
      </c>
      <c r="G305" s="44">
        <f>SUMIFS(TRANSACTION!D:D,TRANSACTION!C:C,Table1[[#This Row],[DESCRIPTION2]])</f>
        <v>120</v>
      </c>
      <c r="H305">
        <f>SUMIFS(TRANSACTION!$E:$E,TRANSACTION!$C:$C,Table1[[#This Row],[DESCRIPTION2]])</f>
        <v>115</v>
      </c>
      <c r="I305" s="42">
        <f>Table1[[#This Row],[OPENING]]+Table1[[#This Row],[RECEIPT]]-Table1[[#This Row],[ISSUANCE]]</f>
        <v>5</v>
      </c>
    </row>
    <row r="306" spans="1:9" x14ac:dyDescent="0.25">
      <c r="A306" s="35">
        <f>IF(Table1[[#This Row],[DESCRIPTION2]]="","",A305+1)</f>
        <v>305</v>
      </c>
      <c r="B306" t="s">
        <v>627</v>
      </c>
      <c r="C306" t="s">
        <v>628</v>
      </c>
      <c r="D306" t="s">
        <v>398</v>
      </c>
      <c r="E306" t="s">
        <v>393</v>
      </c>
      <c r="F306" s="50">
        <v>0</v>
      </c>
      <c r="G306" s="44">
        <f>SUMIFS(TRANSACTION!D:D,TRANSACTION!C:C,Table1[[#This Row],[DESCRIPTION2]])</f>
        <v>60</v>
      </c>
      <c r="H306">
        <f>SUMIFS(TRANSACTION!$E:$E,TRANSACTION!$C:$C,Table1[[#This Row],[DESCRIPTION2]])</f>
        <v>15</v>
      </c>
      <c r="I306" s="42">
        <f>Table1[[#This Row],[OPENING]]+Table1[[#This Row],[RECEIPT]]-Table1[[#This Row],[ISSUANCE]]</f>
        <v>45</v>
      </c>
    </row>
    <row r="307" spans="1:9" x14ac:dyDescent="0.25">
      <c r="A307" s="35">
        <f>IF(Table1[[#This Row],[DESCRIPTION2]]="","",A306+1)</f>
        <v>306</v>
      </c>
      <c r="B307" t="s">
        <v>629</v>
      </c>
      <c r="C307" t="s">
        <v>630</v>
      </c>
      <c r="D307" t="s">
        <v>631</v>
      </c>
      <c r="E307" t="s">
        <v>393</v>
      </c>
      <c r="F307" s="50">
        <v>0</v>
      </c>
      <c r="G307" s="44">
        <f>SUMIFS(TRANSACTION!D:D,TRANSACTION!C:C,Table1[[#This Row],[DESCRIPTION2]])</f>
        <v>36</v>
      </c>
      <c r="H307">
        <f>SUMIFS(TRANSACTION!$E:$E,TRANSACTION!$C:$C,Table1[[#This Row],[DESCRIPTION2]])</f>
        <v>0</v>
      </c>
      <c r="I307" s="42">
        <f>Table1[[#This Row],[OPENING]]+Table1[[#This Row],[RECEIPT]]-Table1[[#This Row],[ISSUANCE]]</f>
        <v>36</v>
      </c>
    </row>
    <row r="308" spans="1:9" x14ac:dyDescent="0.25">
      <c r="A308" s="35">
        <f>IF(Table1[[#This Row],[DESCRIPTION2]]="","",A307+1)</f>
        <v>307</v>
      </c>
      <c r="B308" t="s">
        <v>632</v>
      </c>
      <c r="C308" t="s">
        <v>300</v>
      </c>
      <c r="D308" t="s">
        <v>260</v>
      </c>
      <c r="E308" t="s">
        <v>393</v>
      </c>
      <c r="F308" s="50">
        <v>0</v>
      </c>
      <c r="G308" s="44">
        <f>SUMIFS(TRANSACTION!D:D,TRANSACTION!C:C,Table1[[#This Row],[DESCRIPTION2]])</f>
        <v>7</v>
      </c>
      <c r="H308">
        <f>SUMIFS(TRANSACTION!$E:$E,TRANSACTION!$C:$C,Table1[[#This Row],[DESCRIPTION2]])</f>
        <v>2</v>
      </c>
      <c r="I308" s="42">
        <f>Table1[[#This Row],[OPENING]]+Table1[[#This Row],[RECEIPT]]-Table1[[#This Row],[ISSUANCE]]</f>
        <v>5</v>
      </c>
    </row>
    <row r="309" spans="1:9" x14ac:dyDescent="0.25">
      <c r="A309" s="35">
        <f>IF(Table1[[#This Row],[DESCRIPTION2]]="","",A308+1)</f>
        <v>308</v>
      </c>
      <c r="B309" t="s">
        <v>633</v>
      </c>
      <c r="C309" t="s">
        <v>298</v>
      </c>
      <c r="D309" t="s">
        <v>162</v>
      </c>
      <c r="E309" t="s">
        <v>393</v>
      </c>
      <c r="F309" s="50">
        <v>0</v>
      </c>
      <c r="G309" s="44">
        <f>SUMIFS(TRANSACTION!D:D,TRANSACTION!C:C,Table1[[#This Row],[DESCRIPTION2]])</f>
        <v>10</v>
      </c>
      <c r="H309">
        <f>SUMIFS(TRANSACTION!$E:$E,TRANSACTION!$C:$C,Table1[[#This Row],[DESCRIPTION2]])</f>
        <v>0</v>
      </c>
      <c r="I309" s="42">
        <f>Table1[[#This Row],[OPENING]]+Table1[[#This Row],[RECEIPT]]-Table1[[#This Row],[ISSUANCE]]</f>
        <v>10</v>
      </c>
    </row>
    <row r="310" spans="1:9" x14ac:dyDescent="0.25">
      <c r="A310" s="35">
        <f>IF(Table1[[#This Row],[DESCRIPTION2]]="","",A309+1)</f>
        <v>309</v>
      </c>
      <c r="B310" t="s">
        <v>636</v>
      </c>
      <c r="C310" t="s">
        <v>338</v>
      </c>
      <c r="D310" t="s">
        <v>181</v>
      </c>
      <c r="E310" t="s">
        <v>393</v>
      </c>
      <c r="F310" s="50">
        <v>0</v>
      </c>
      <c r="G310" s="44">
        <f>SUMIFS(TRANSACTION!D:D,TRANSACTION!C:C,Table1[[#This Row],[DESCRIPTION2]])</f>
        <v>120</v>
      </c>
      <c r="H310">
        <f>SUMIFS(TRANSACTION!$E:$E,TRANSACTION!$C:$C,Table1[[#This Row],[DESCRIPTION2]])</f>
        <v>70</v>
      </c>
      <c r="I310" s="42">
        <f>Table1[[#This Row],[OPENING]]+Table1[[#This Row],[RECEIPT]]-Table1[[#This Row],[ISSUANCE]]</f>
        <v>50</v>
      </c>
    </row>
    <row r="311" spans="1:9" x14ac:dyDescent="0.25">
      <c r="A311" s="35">
        <f>IF(Table1[[#This Row],[DESCRIPTION2]]="","",A310+1)</f>
        <v>310</v>
      </c>
      <c r="B311" t="s">
        <v>637</v>
      </c>
      <c r="C311" t="s">
        <v>638</v>
      </c>
      <c r="D311" t="s">
        <v>156</v>
      </c>
      <c r="E311" t="s">
        <v>393</v>
      </c>
      <c r="F311" s="50">
        <v>0</v>
      </c>
      <c r="G311" s="44">
        <f>SUMIFS(TRANSACTION!D:D,TRANSACTION!C:C,Table1[[#This Row],[DESCRIPTION2]])</f>
        <v>100</v>
      </c>
      <c r="H311">
        <f>SUMIFS(TRANSACTION!$E:$E,TRANSACTION!$C:$C,Table1[[#This Row],[DESCRIPTION2]])</f>
        <v>60</v>
      </c>
      <c r="I311" s="42">
        <f>Table1[[#This Row],[OPENING]]+Table1[[#This Row],[RECEIPT]]-Table1[[#This Row],[ISSUANCE]]</f>
        <v>40</v>
      </c>
    </row>
    <row r="312" spans="1:9" x14ac:dyDescent="0.25">
      <c r="A312" s="35">
        <f>IF(Table1[[#This Row],[DESCRIPTION2]]="","",A311+1)</f>
        <v>311</v>
      </c>
      <c r="B312" t="s">
        <v>639</v>
      </c>
      <c r="C312" t="s">
        <v>348</v>
      </c>
      <c r="D312" t="s">
        <v>181</v>
      </c>
      <c r="E312" t="s">
        <v>393</v>
      </c>
      <c r="F312" s="50">
        <v>0</v>
      </c>
      <c r="G312" s="44">
        <f>SUMIFS(TRANSACTION!D:D,TRANSACTION!C:C,Table1[[#This Row],[DESCRIPTION2]])</f>
        <v>50</v>
      </c>
      <c r="H312">
        <f>SUMIFS(TRANSACTION!$E:$E,TRANSACTION!$C:$C,Table1[[#This Row],[DESCRIPTION2]])</f>
        <v>20</v>
      </c>
      <c r="I312" s="42">
        <f>Table1[[#This Row],[OPENING]]+Table1[[#This Row],[RECEIPT]]-Table1[[#This Row],[ISSUANCE]]</f>
        <v>30</v>
      </c>
    </row>
    <row r="313" spans="1:9" x14ac:dyDescent="0.25">
      <c r="A313" s="35">
        <f>IF(Table1[[#This Row],[DESCRIPTION2]]="","",A312+1)</f>
        <v>312</v>
      </c>
      <c r="B313" t="s">
        <v>640</v>
      </c>
      <c r="C313" t="s">
        <v>348</v>
      </c>
      <c r="D313" t="s">
        <v>181</v>
      </c>
      <c r="E313" t="s">
        <v>393</v>
      </c>
      <c r="F313" s="50">
        <v>0</v>
      </c>
      <c r="G313" s="44">
        <f>SUMIFS(TRANSACTION!D:D,TRANSACTION!C:C,Table1[[#This Row],[DESCRIPTION2]])</f>
        <v>10</v>
      </c>
      <c r="H313">
        <f>SUMIFS(TRANSACTION!$E:$E,TRANSACTION!$C:$C,Table1[[#This Row],[DESCRIPTION2]])</f>
        <v>5</v>
      </c>
      <c r="I313" s="42">
        <f>Table1[[#This Row],[OPENING]]+Table1[[#This Row],[RECEIPT]]-Table1[[#This Row],[ISSUANCE]]</f>
        <v>5</v>
      </c>
    </row>
    <row r="314" spans="1:9" x14ac:dyDescent="0.25">
      <c r="A314" s="35">
        <f>IF(Table1[[#This Row],[DESCRIPTION2]]="","",A313+1)</f>
        <v>313</v>
      </c>
      <c r="B314" t="s">
        <v>642</v>
      </c>
      <c r="C314" t="s">
        <v>327</v>
      </c>
      <c r="D314" t="s">
        <v>181</v>
      </c>
      <c r="E314" t="s">
        <v>393</v>
      </c>
      <c r="F314" s="50">
        <v>0</v>
      </c>
      <c r="G314" s="44">
        <f>SUMIFS(TRANSACTION!D:D,TRANSACTION!C:C,Table1[[#This Row],[DESCRIPTION2]])</f>
        <v>30</v>
      </c>
      <c r="H314">
        <f>SUMIFS(TRANSACTION!$E:$E,TRANSACTION!$C:$C,Table1[[#This Row],[DESCRIPTION2]])</f>
        <v>8</v>
      </c>
      <c r="I314" s="42">
        <f>Table1[[#This Row],[OPENING]]+Table1[[#This Row],[RECEIPT]]-Table1[[#This Row],[ISSUANCE]]</f>
        <v>22</v>
      </c>
    </row>
    <row r="315" spans="1:9" x14ac:dyDescent="0.25">
      <c r="A315" s="35">
        <f>IF(Table1[[#This Row],[DESCRIPTION2]]="","",A314+1)</f>
        <v>314</v>
      </c>
      <c r="B315" t="s">
        <v>641</v>
      </c>
      <c r="C315" t="s">
        <v>327</v>
      </c>
      <c r="D315" t="s">
        <v>181</v>
      </c>
      <c r="E315" t="s">
        <v>393</v>
      </c>
      <c r="F315" s="50">
        <v>0</v>
      </c>
      <c r="G315" s="44">
        <f>SUMIFS(TRANSACTION!D:D,TRANSACTION!C:C,Table1[[#This Row],[DESCRIPTION2]])</f>
        <v>20</v>
      </c>
      <c r="H315">
        <f>SUMIFS(TRANSACTION!$E:$E,TRANSACTION!$C:$C,Table1[[#This Row],[DESCRIPTION2]])</f>
        <v>20</v>
      </c>
      <c r="I315" s="42">
        <f>Table1[[#This Row],[OPENING]]+Table1[[#This Row],[RECEIPT]]-Table1[[#This Row],[ISSUANCE]]</f>
        <v>0</v>
      </c>
    </row>
    <row r="316" spans="1:9" x14ac:dyDescent="0.25">
      <c r="A316" s="35">
        <f>IF(Table1[[#This Row],[DESCRIPTION2]]="","",A315+1)</f>
        <v>315</v>
      </c>
      <c r="B316" t="s">
        <v>645</v>
      </c>
      <c r="C316" t="s">
        <v>357</v>
      </c>
      <c r="D316" t="s">
        <v>181</v>
      </c>
      <c r="E316" t="s">
        <v>393</v>
      </c>
      <c r="F316" s="50">
        <v>0</v>
      </c>
      <c r="G316" s="44">
        <f>SUMIFS(TRANSACTION!D:D,TRANSACTION!C:C,Table1[[#This Row],[DESCRIPTION2]])</f>
        <v>5</v>
      </c>
      <c r="H316">
        <f>SUMIFS(TRANSACTION!$E:$E,TRANSACTION!$C:$C,Table1[[#This Row],[DESCRIPTION2]])</f>
        <v>2</v>
      </c>
      <c r="I316" s="42">
        <f>Table1[[#This Row],[OPENING]]+Table1[[#This Row],[RECEIPT]]-Table1[[#This Row],[ISSUANCE]]</f>
        <v>3</v>
      </c>
    </row>
    <row r="317" spans="1:9" x14ac:dyDescent="0.25">
      <c r="A317" s="35">
        <f>IF(Table1[[#This Row],[DESCRIPTION2]]="","",A316+1)</f>
        <v>316</v>
      </c>
      <c r="B317" t="s">
        <v>646</v>
      </c>
      <c r="C317" t="s">
        <v>244</v>
      </c>
      <c r="D317" t="s">
        <v>181</v>
      </c>
      <c r="E317" t="s">
        <v>393</v>
      </c>
      <c r="F317" s="50">
        <v>0</v>
      </c>
      <c r="G317" s="44">
        <f>SUMIFS(TRANSACTION!D:D,TRANSACTION!C:C,Table1[[#This Row],[DESCRIPTION2]])</f>
        <v>10</v>
      </c>
      <c r="H317">
        <f>SUMIFS(TRANSACTION!$E:$E,TRANSACTION!$C:$C,Table1[[#This Row],[DESCRIPTION2]])</f>
        <v>4</v>
      </c>
      <c r="I317" s="42">
        <f>Table1[[#This Row],[OPENING]]+Table1[[#This Row],[RECEIPT]]-Table1[[#This Row],[ISSUANCE]]</f>
        <v>6</v>
      </c>
    </row>
    <row r="318" spans="1:9" x14ac:dyDescent="0.25">
      <c r="A318" s="35">
        <f>IF(Table1[[#This Row],[DESCRIPTION2]]="","",A317+1)</f>
        <v>317</v>
      </c>
      <c r="B318" t="s">
        <v>647</v>
      </c>
      <c r="C318" t="s">
        <v>331</v>
      </c>
      <c r="D318" t="s">
        <v>181</v>
      </c>
      <c r="E318" t="s">
        <v>393</v>
      </c>
      <c r="F318" s="50">
        <v>0</v>
      </c>
      <c r="G318" s="44">
        <f>SUMIFS(TRANSACTION!D:D,TRANSACTION!C:C,Table1[[#This Row],[DESCRIPTION2]])</f>
        <v>50</v>
      </c>
      <c r="H318">
        <f>SUMIFS(TRANSACTION!$E:$E,TRANSACTION!$C:$C,Table1[[#This Row],[DESCRIPTION2]])</f>
        <v>24</v>
      </c>
      <c r="I318" s="42">
        <f>Table1[[#This Row],[OPENING]]+Table1[[#This Row],[RECEIPT]]-Table1[[#This Row],[ISSUANCE]]</f>
        <v>26</v>
      </c>
    </row>
    <row r="319" spans="1:9" x14ac:dyDescent="0.25">
      <c r="A319" s="35">
        <f>IF(Table1[[#This Row],[DESCRIPTION2]]="","",A318+1)</f>
        <v>318</v>
      </c>
      <c r="B319" t="s">
        <v>648</v>
      </c>
      <c r="C319" t="s">
        <v>649</v>
      </c>
      <c r="D319" t="s">
        <v>109</v>
      </c>
      <c r="E319" t="s">
        <v>393</v>
      </c>
      <c r="F319" s="50">
        <v>0</v>
      </c>
      <c r="G319" s="44">
        <f>SUMIFS(TRANSACTION!D:D,TRANSACTION!C:C,Table1[[#This Row],[DESCRIPTION2]])</f>
        <v>24</v>
      </c>
      <c r="H319">
        <f>SUMIFS(TRANSACTION!$E:$E,TRANSACTION!$C:$C,Table1[[#This Row],[DESCRIPTION2]])</f>
        <v>0</v>
      </c>
      <c r="I319" s="42">
        <f>Table1[[#This Row],[OPENING]]+Table1[[#This Row],[RECEIPT]]-Table1[[#This Row],[ISSUANCE]]</f>
        <v>24</v>
      </c>
    </row>
    <row r="320" spans="1:9" x14ac:dyDescent="0.25">
      <c r="A320" s="35">
        <f>IF(Table1[[#This Row],[DESCRIPTION2]]="","",A319+1)</f>
        <v>319</v>
      </c>
      <c r="B320" t="s">
        <v>650</v>
      </c>
      <c r="C320" t="s">
        <v>327</v>
      </c>
      <c r="D320" t="s">
        <v>181</v>
      </c>
      <c r="E320" t="s">
        <v>393</v>
      </c>
      <c r="F320" s="50">
        <v>0</v>
      </c>
      <c r="G320" s="44">
        <f>SUMIFS(TRANSACTION!D:D,TRANSACTION!C:C,Table1[[#This Row],[DESCRIPTION2]])</f>
        <v>20</v>
      </c>
      <c r="H320">
        <f>SUMIFS(TRANSACTION!$E:$E,TRANSACTION!$C:$C,Table1[[#This Row],[DESCRIPTION2]])</f>
        <v>0</v>
      </c>
      <c r="I320" s="42">
        <f>Table1[[#This Row],[OPENING]]+Table1[[#This Row],[RECEIPT]]-Table1[[#This Row],[ISSUANCE]]</f>
        <v>20</v>
      </c>
    </row>
    <row r="321" spans="1:9" x14ac:dyDescent="0.25">
      <c r="A321" s="35">
        <f>IF(Table1[[#This Row],[DESCRIPTION2]]="","",A320+1)</f>
        <v>320</v>
      </c>
      <c r="B321" t="s">
        <v>652</v>
      </c>
      <c r="C321" s="46" t="s">
        <v>435</v>
      </c>
      <c r="D321" s="36" t="s">
        <v>181</v>
      </c>
      <c r="E321" s="36" t="s">
        <v>393</v>
      </c>
      <c r="F321" s="50">
        <v>0</v>
      </c>
      <c r="G321" s="44">
        <f>SUMIFS(TRANSACTION!D:D,TRANSACTION!C:C,Table1[[#This Row],[DESCRIPTION2]])</f>
        <v>50</v>
      </c>
      <c r="H321">
        <f>SUMIFS(TRANSACTION!$E:$E,TRANSACTION!$C:$C,Table1[[#This Row],[DESCRIPTION2]])</f>
        <v>5</v>
      </c>
      <c r="I321" s="42">
        <f>Table1[[#This Row],[OPENING]]+Table1[[#This Row],[RECEIPT]]-Table1[[#This Row],[ISSUANCE]]</f>
        <v>45</v>
      </c>
    </row>
    <row r="322" spans="1:9" x14ac:dyDescent="0.25">
      <c r="A322" s="35">
        <f>IF(Table1[[#This Row],[DESCRIPTION2]]="","",A321+1)</f>
        <v>321</v>
      </c>
      <c r="B322" t="s">
        <v>654</v>
      </c>
      <c r="C322" t="s">
        <v>245</v>
      </c>
      <c r="D322" t="s">
        <v>181</v>
      </c>
      <c r="E322" t="s">
        <v>393</v>
      </c>
      <c r="F322" s="50">
        <v>0</v>
      </c>
      <c r="G322" s="44">
        <f>SUMIFS(TRANSACTION!D:D,TRANSACTION!C:C,Table1[[#This Row],[DESCRIPTION2]])</f>
        <v>20</v>
      </c>
      <c r="H322">
        <f>SUMIFS(TRANSACTION!$E:$E,TRANSACTION!$C:$C,Table1[[#This Row],[DESCRIPTION2]])</f>
        <v>15</v>
      </c>
      <c r="I322" s="42">
        <f>Table1[[#This Row],[OPENING]]+Table1[[#This Row],[RECEIPT]]-Table1[[#This Row],[ISSUANCE]]</f>
        <v>5</v>
      </c>
    </row>
    <row r="323" spans="1:9" x14ac:dyDescent="0.25">
      <c r="A323" s="35">
        <f>IF(Table1[[#This Row],[DESCRIPTION2]]="","",A322+1)</f>
        <v>322</v>
      </c>
      <c r="B323" t="s">
        <v>675</v>
      </c>
      <c r="C323" t="s">
        <v>446</v>
      </c>
      <c r="D323" t="s">
        <v>676</v>
      </c>
      <c r="E323" t="s">
        <v>393</v>
      </c>
      <c r="F323" s="50">
        <v>0</v>
      </c>
      <c r="G323" s="44">
        <f>SUMIFS(TRANSACTION!D:D,TRANSACTION!C:C,Table1[[#This Row],[DESCRIPTION2]])</f>
        <v>22</v>
      </c>
      <c r="H323">
        <f>SUMIFS(TRANSACTION!$E:$E,TRANSACTION!$C:$C,Table1[[#This Row],[DESCRIPTION2]])</f>
        <v>0</v>
      </c>
      <c r="I323" s="42">
        <f>Table1[[#This Row],[OPENING]]+Table1[[#This Row],[RECEIPT]]-Table1[[#This Row],[ISSUANCE]]</f>
        <v>22</v>
      </c>
    </row>
    <row r="324" spans="1:9" x14ac:dyDescent="0.25">
      <c r="A324" s="35">
        <f>IF(Table1[[#This Row],[DESCRIPTION2]]="","",A323+1)</f>
        <v>323</v>
      </c>
      <c r="B324" t="s">
        <v>677</v>
      </c>
      <c r="C324" t="s">
        <v>371</v>
      </c>
      <c r="D324" t="s">
        <v>260</v>
      </c>
      <c r="E324" t="s">
        <v>393</v>
      </c>
      <c r="F324" s="50">
        <v>0</v>
      </c>
      <c r="G324" s="44">
        <f>SUMIFS(TRANSACTION!D:D,TRANSACTION!C:C,Table1[[#This Row],[DESCRIPTION2]])</f>
        <v>10</v>
      </c>
      <c r="H324">
        <f>SUMIFS(TRANSACTION!$E:$E,TRANSACTION!$C:$C,Table1[[#This Row],[DESCRIPTION2]])</f>
        <v>5</v>
      </c>
      <c r="I324" s="42">
        <f>Table1[[#This Row],[OPENING]]+Table1[[#This Row],[RECEIPT]]-Table1[[#This Row],[ISSUANCE]]</f>
        <v>5</v>
      </c>
    </row>
    <row r="325" spans="1:9" x14ac:dyDescent="0.25">
      <c r="A325" s="35">
        <f>IF(Table1[[#This Row],[DESCRIPTION2]]="","",A324+1)</f>
        <v>324</v>
      </c>
      <c r="B325" t="s">
        <v>678</v>
      </c>
      <c r="C325" t="s">
        <v>356</v>
      </c>
      <c r="D325" t="s">
        <v>181</v>
      </c>
      <c r="E325" t="s">
        <v>393</v>
      </c>
      <c r="F325" s="50">
        <v>0</v>
      </c>
      <c r="G325" s="44">
        <f>SUMIFS(TRANSACTION!D:D,TRANSACTION!C:C,Table1[[#This Row],[DESCRIPTION2]])</f>
        <v>10</v>
      </c>
      <c r="H325">
        <f>SUMIFS(TRANSACTION!$E:$E,TRANSACTION!$C:$C,Table1[[#This Row],[DESCRIPTION2]])</f>
        <v>2</v>
      </c>
      <c r="I325" s="42">
        <f>Table1[[#This Row],[OPENING]]+Table1[[#This Row],[RECEIPT]]-Table1[[#This Row],[ISSUANCE]]</f>
        <v>8</v>
      </c>
    </row>
    <row r="326" spans="1:9" x14ac:dyDescent="0.25">
      <c r="A326" s="35">
        <f>IF(Table1[[#This Row],[DESCRIPTION2]]="","",A325+1)</f>
        <v>325</v>
      </c>
      <c r="B326" t="s">
        <v>679</v>
      </c>
      <c r="C326" t="s">
        <v>680</v>
      </c>
      <c r="D326" t="s">
        <v>260</v>
      </c>
      <c r="E326" t="s">
        <v>393</v>
      </c>
      <c r="F326" s="50">
        <v>0</v>
      </c>
      <c r="G326" s="44">
        <f>SUMIFS(TRANSACTION!D:D,TRANSACTION!C:C,Table1[[#This Row],[DESCRIPTION2]])</f>
        <v>10</v>
      </c>
      <c r="H326">
        <f>SUMIFS(TRANSACTION!$E:$E,TRANSACTION!$C:$C,Table1[[#This Row],[DESCRIPTION2]])</f>
        <v>5</v>
      </c>
      <c r="I326" s="42">
        <f>Table1[[#This Row],[OPENING]]+Table1[[#This Row],[RECEIPT]]-Table1[[#This Row],[ISSUANCE]]</f>
        <v>5</v>
      </c>
    </row>
    <row r="327" spans="1:9" x14ac:dyDescent="0.25">
      <c r="A327" s="35">
        <f>IF(Table1[[#This Row],[DESCRIPTION2]]="","",A326+1)</f>
        <v>326</v>
      </c>
      <c r="B327" t="s">
        <v>681</v>
      </c>
      <c r="C327" t="s">
        <v>366</v>
      </c>
      <c r="D327" t="s">
        <v>260</v>
      </c>
      <c r="E327" t="s">
        <v>393</v>
      </c>
      <c r="F327" s="50">
        <v>0</v>
      </c>
      <c r="G327" s="44">
        <f>SUMIFS(TRANSACTION!D:D,TRANSACTION!C:C,Table1[[#This Row],[DESCRIPTION2]])</f>
        <v>10</v>
      </c>
      <c r="H327">
        <f>SUMIFS(TRANSACTION!$E:$E,TRANSACTION!$C:$C,Table1[[#This Row],[DESCRIPTION2]])</f>
        <v>0</v>
      </c>
      <c r="I327" s="42">
        <f>Table1[[#This Row],[OPENING]]+Table1[[#This Row],[RECEIPT]]-Table1[[#This Row],[ISSUANCE]]</f>
        <v>10</v>
      </c>
    </row>
    <row r="328" spans="1:9" x14ac:dyDescent="0.25">
      <c r="A328" s="35">
        <f>IF(Table1[[#This Row],[DESCRIPTION2]]="","",A327+1)</f>
        <v>327</v>
      </c>
      <c r="B328" t="s">
        <v>682</v>
      </c>
      <c r="C328" s="48" t="s">
        <v>683</v>
      </c>
      <c r="D328" s="37" t="s">
        <v>181</v>
      </c>
      <c r="E328" s="37" t="s">
        <v>393</v>
      </c>
      <c r="F328" s="50">
        <v>0</v>
      </c>
      <c r="G328" s="44">
        <f>SUMIFS(TRANSACTION!D:D,TRANSACTION!C:C,Table1[[#This Row],[DESCRIPTION2]])</f>
        <v>10</v>
      </c>
      <c r="H328">
        <f>SUMIFS(TRANSACTION!$E:$E,TRANSACTION!$C:$C,Table1[[#This Row],[DESCRIPTION2]])</f>
        <v>5</v>
      </c>
      <c r="I328" s="42">
        <f>Table1[[#This Row],[OPENING]]+Table1[[#This Row],[RECEIPT]]-Table1[[#This Row],[ISSUANCE]]</f>
        <v>5</v>
      </c>
    </row>
    <row r="329" spans="1:9" x14ac:dyDescent="0.25">
      <c r="A329" s="35">
        <f>IF(Table1[[#This Row],[DESCRIPTION2]]="","",A328+1)</f>
        <v>328</v>
      </c>
      <c r="B329" t="s">
        <v>686</v>
      </c>
      <c r="C329" s="53" t="s">
        <v>687</v>
      </c>
      <c r="D329" t="s">
        <v>181</v>
      </c>
      <c r="E329" t="s">
        <v>393</v>
      </c>
      <c r="F329" s="50">
        <v>0</v>
      </c>
      <c r="G329" s="44">
        <f>SUMIFS(TRANSACTION!D:D,TRANSACTION!C:C,Table1[[#This Row],[DESCRIPTION2]])</f>
        <v>20</v>
      </c>
      <c r="H329">
        <f>SUMIFS(TRANSACTION!$E:$E,TRANSACTION!$C:$C,Table1[[#This Row],[DESCRIPTION2]])</f>
        <v>0</v>
      </c>
      <c r="I329" s="42">
        <f>Table1[[#This Row],[OPENING]]+Table1[[#This Row],[RECEIPT]]-Table1[[#This Row],[ISSUANCE]]</f>
        <v>20</v>
      </c>
    </row>
    <row r="330" spans="1:9" x14ac:dyDescent="0.25">
      <c r="A330" s="35">
        <f>IF(Table1[[#This Row],[DESCRIPTION2]]="","",A329+1)</f>
        <v>329</v>
      </c>
      <c r="B330" t="s">
        <v>688</v>
      </c>
      <c r="C330" t="s">
        <v>601</v>
      </c>
      <c r="D330" t="s">
        <v>294</v>
      </c>
      <c r="E330" t="s">
        <v>393</v>
      </c>
      <c r="F330" s="50">
        <v>0</v>
      </c>
      <c r="G330" s="44">
        <f>SUMIFS(TRANSACTION!D:D,TRANSACTION!C:C,Table1[[#This Row],[DESCRIPTION2]])</f>
        <v>2</v>
      </c>
      <c r="H330">
        <f>SUMIFS(TRANSACTION!$E:$E,TRANSACTION!$C:$C,Table1[[#This Row],[DESCRIPTION2]])</f>
        <v>1</v>
      </c>
      <c r="I330" s="42">
        <f>Table1[[#This Row],[OPENING]]+Table1[[#This Row],[RECEIPT]]-Table1[[#This Row],[ISSUANCE]]</f>
        <v>1</v>
      </c>
    </row>
    <row r="331" spans="1:9" x14ac:dyDescent="0.25">
      <c r="A331" s="35">
        <f>IF(Table1[[#This Row],[DESCRIPTION2]]="","",A330+1)</f>
        <v>330</v>
      </c>
      <c r="B331" t="s">
        <v>689</v>
      </c>
      <c r="C331" t="s">
        <v>601</v>
      </c>
      <c r="D331" t="s">
        <v>181</v>
      </c>
      <c r="E331" t="s">
        <v>393</v>
      </c>
      <c r="F331" s="50">
        <v>0</v>
      </c>
      <c r="G331" s="44">
        <f>SUMIFS(TRANSACTION!D:D,TRANSACTION!C:C,Table1[[#This Row],[DESCRIPTION2]])</f>
        <v>10</v>
      </c>
      <c r="H331">
        <f>SUMIFS(TRANSACTION!$E:$E,TRANSACTION!$C:$C,Table1[[#This Row],[DESCRIPTION2]])</f>
        <v>5</v>
      </c>
      <c r="I331" s="42">
        <f>Table1[[#This Row],[OPENING]]+Table1[[#This Row],[RECEIPT]]-Table1[[#This Row],[ISSUANCE]]</f>
        <v>5</v>
      </c>
    </row>
    <row r="332" spans="1:9" x14ac:dyDescent="0.25">
      <c r="A332" s="35">
        <f>IF(Table1[[#This Row],[DESCRIPTION2]]="","",A331+1)</f>
        <v>331</v>
      </c>
      <c r="B332" t="s">
        <v>691</v>
      </c>
      <c r="C332" t="s">
        <v>335</v>
      </c>
      <c r="D332" t="s">
        <v>156</v>
      </c>
      <c r="E332" t="s">
        <v>393</v>
      </c>
      <c r="F332" s="50">
        <v>0</v>
      </c>
      <c r="G332" s="44">
        <f>SUMIFS(TRANSACTION!D:D,TRANSACTION!C:C,Table1[[#This Row],[DESCRIPTION2]])</f>
        <v>20</v>
      </c>
      <c r="H332">
        <f>SUMIFS(TRANSACTION!$E:$E,TRANSACTION!$C:$C,Table1[[#This Row],[DESCRIPTION2]])</f>
        <v>10</v>
      </c>
      <c r="I332" s="42">
        <f>Table1[[#This Row],[OPENING]]+Table1[[#This Row],[RECEIPT]]-Table1[[#This Row],[ISSUANCE]]</f>
        <v>10</v>
      </c>
    </row>
    <row r="333" spans="1:9" x14ac:dyDescent="0.25">
      <c r="A333" s="35">
        <f>IF(Table1[[#This Row],[DESCRIPTION2]]="","",A332+1)</f>
        <v>332</v>
      </c>
      <c r="B333" t="s">
        <v>692</v>
      </c>
      <c r="C333" t="s">
        <v>182</v>
      </c>
      <c r="D333" t="s">
        <v>181</v>
      </c>
      <c r="E333" t="s">
        <v>393</v>
      </c>
      <c r="F333" s="50">
        <v>0</v>
      </c>
      <c r="G333" s="44">
        <f>SUMIFS(TRANSACTION!D:D,TRANSACTION!C:C,Table1[[#This Row],[DESCRIPTION2]])</f>
        <v>6</v>
      </c>
      <c r="H333">
        <f>SUMIFS(TRANSACTION!$E:$E,TRANSACTION!$C:$C,Table1[[#This Row],[DESCRIPTION2]])</f>
        <v>1</v>
      </c>
      <c r="I333" s="42">
        <f>Table1[[#This Row],[OPENING]]+Table1[[#This Row],[RECEIPT]]-Table1[[#This Row],[ISSUANCE]]</f>
        <v>5</v>
      </c>
    </row>
  </sheetData>
  <sheetProtection selectLockedCells="1" autoFilter="0"/>
  <pageMargins left="0.7" right="0.7" top="0.75" bottom="0.75" header="0.3" footer="0.3"/>
  <pageSetup paperSize="9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98D1-DD9A-4F96-8272-856303D825A0}">
  <sheetPr>
    <tabColor rgb="FFC00000"/>
  </sheetPr>
  <dimension ref="B2:F2355"/>
  <sheetViews>
    <sheetView showGridLines="0" zoomScale="120" zoomScaleNormal="120" workbookViewId="0">
      <pane xSplit="5" ySplit="2" topLeftCell="F2333" activePane="bottomRight" state="frozen"/>
      <selection pane="topRight" activeCell="I1" sqref="I1"/>
      <selection pane="bottomLeft" activeCell="A3" sqref="A3"/>
      <selection pane="bottomRight" activeCell="E2353" sqref="E2353"/>
    </sheetView>
  </sheetViews>
  <sheetFormatPr defaultRowHeight="13.2" x14ac:dyDescent="0.25"/>
  <cols>
    <col min="2" max="2" width="10.44140625" bestFit="1" customWidth="1"/>
    <col min="3" max="3" width="27.77734375" bestFit="1" customWidth="1"/>
    <col min="4" max="4" width="11" customWidth="1"/>
    <col min="5" max="5" width="12" customWidth="1"/>
    <col min="6" max="6" width="37.44140625" customWidth="1"/>
  </cols>
  <sheetData>
    <row r="2" spans="2:6" x14ac:dyDescent="0.25">
      <c r="B2" s="39" t="s">
        <v>385</v>
      </c>
      <c r="C2" s="39" t="s">
        <v>391</v>
      </c>
      <c r="D2" s="39" t="s">
        <v>386</v>
      </c>
      <c r="E2" s="39" t="s">
        <v>387</v>
      </c>
      <c r="F2" s="39" t="s">
        <v>394</v>
      </c>
    </row>
    <row r="3" spans="2:6" x14ac:dyDescent="0.25">
      <c r="B3" s="38">
        <v>45869</v>
      </c>
      <c r="C3" t="s">
        <v>112</v>
      </c>
    </row>
    <row r="4" spans="2:6" x14ac:dyDescent="0.25">
      <c r="B4" s="38">
        <v>45869</v>
      </c>
      <c r="C4" t="s">
        <v>127</v>
      </c>
    </row>
    <row r="5" spans="2:6" x14ac:dyDescent="0.25">
      <c r="B5" s="38">
        <v>45869</v>
      </c>
      <c r="C5" t="s">
        <v>116</v>
      </c>
    </row>
    <row r="6" spans="2:6" x14ac:dyDescent="0.25">
      <c r="B6" s="38">
        <v>45869</v>
      </c>
      <c r="C6" t="s">
        <v>117</v>
      </c>
    </row>
    <row r="7" spans="2:6" x14ac:dyDescent="0.25">
      <c r="B7" s="38">
        <v>45869</v>
      </c>
      <c r="C7" t="s">
        <v>411</v>
      </c>
    </row>
    <row r="8" spans="2:6" x14ac:dyDescent="0.25">
      <c r="B8" s="38">
        <v>45869</v>
      </c>
      <c r="C8" t="s">
        <v>128</v>
      </c>
    </row>
    <row r="9" spans="2:6" x14ac:dyDescent="0.25">
      <c r="B9" s="38">
        <v>45869</v>
      </c>
      <c r="C9" t="s">
        <v>373</v>
      </c>
    </row>
    <row r="10" spans="2:6" x14ac:dyDescent="0.25">
      <c r="B10" s="38">
        <v>45869</v>
      </c>
      <c r="C10" s="37" t="s">
        <v>482</v>
      </c>
    </row>
    <row r="11" spans="2:6" x14ac:dyDescent="0.25">
      <c r="B11" s="38">
        <v>45869</v>
      </c>
      <c r="C11" t="s">
        <v>544</v>
      </c>
    </row>
    <row r="12" spans="2:6" x14ac:dyDescent="0.25">
      <c r="B12" s="38">
        <v>45869</v>
      </c>
      <c r="C12" t="s">
        <v>121</v>
      </c>
    </row>
    <row r="13" spans="2:6" x14ac:dyDescent="0.25">
      <c r="B13" s="38">
        <v>45869</v>
      </c>
      <c r="C13" t="s">
        <v>122</v>
      </c>
    </row>
    <row r="14" spans="2:6" x14ac:dyDescent="0.25">
      <c r="B14" s="38">
        <v>45869</v>
      </c>
      <c r="C14" t="s">
        <v>123</v>
      </c>
    </row>
    <row r="15" spans="2:6" x14ac:dyDescent="0.25">
      <c r="B15" s="38">
        <v>45869</v>
      </c>
      <c r="C15" t="s">
        <v>136</v>
      </c>
    </row>
    <row r="16" spans="2:6" x14ac:dyDescent="0.25">
      <c r="B16" s="38">
        <v>45869</v>
      </c>
      <c r="C16" t="s">
        <v>124</v>
      </c>
    </row>
    <row r="17" spans="2:3" x14ac:dyDescent="0.25">
      <c r="B17" s="38">
        <v>45869</v>
      </c>
      <c r="C17" t="s">
        <v>135</v>
      </c>
    </row>
    <row r="18" spans="2:3" x14ac:dyDescent="0.25">
      <c r="B18" s="38">
        <v>45869</v>
      </c>
      <c r="C18" t="s">
        <v>125</v>
      </c>
    </row>
    <row r="19" spans="2:3" x14ac:dyDescent="0.25">
      <c r="B19" s="38">
        <v>45869</v>
      </c>
      <c r="C19" t="s">
        <v>137</v>
      </c>
    </row>
    <row r="20" spans="2:3" x14ac:dyDescent="0.25">
      <c r="B20" s="38">
        <v>45869</v>
      </c>
      <c r="C20" t="s">
        <v>138</v>
      </c>
    </row>
    <row r="21" spans="2:3" x14ac:dyDescent="0.25">
      <c r="B21" s="38">
        <v>45869</v>
      </c>
      <c r="C21" t="s">
        <v>139</v>
      </c>
    </row>
    <row r="22" spans="2:3" x14ac:dyDescent="0.25">
      <c r="B22" s="38">
        <v>45869</v>
      </c>
      <c r="C22" t="s">
        <v>140</v>
      </c>
    </row>
    <row r="23" spans="2:3" x14ac:dyDescent="0.25">
      <c r="B23" s="38">
        <v>45869</v>
      </c>
      <c r="C23" t="s">
        <v>141</v>
      </c>
    </row>
    <row r="24" spans="2:3" x14ac:dyDescent="0.25">
      <c r="B24" s="38">
        <v>45869</v>
      </c>
      <c r="C24" t="s">
        <v>142</v>
      </c>
    </row>
    <row r="25" spans="2:3" x14ac:dyDescent="0.25">
      <c r="B25" s="38">
        <v>45869</v>
      </c>
      <c r="C25" t="s">
        <v>143</v>
      </c>
    </row>
    <row r="26" spans="2:3" x14ac:dyDescent="0.25">
      <c r="B26" s="38">
        <v>45869</v>
      </c>
      <c r="C26" t="s">
        <v>144</v>
      </c>
    </row>
    <row r="27" spans="2:3" x14ac:dyDescent="0.25">
      <c r="B27" s="38">
        <v>45869</v>
      </c>
      <c r="C27" t="s">
        <v>145</v>
      </c>
    </row>
    <row r="28" spans="2:3" x14ac:dyDescent="0.25">
      <c r="B28" s="38">
        <v>45869</v>
      </c>
      <c r="C28" t="s">
        <v>146</v>
      </c>
    </row>
    <row r="29" spans="2:3" x14ac:dyDescent="0.25">
      <c r="B29" s="38">
        <v>45869</v>
      </c>
      <c r="C29" t="s">
        <v>147</v>
      </c>
    </row>
    <row r="30" spans="2:3" x14ac:dyDescent="0.25">
      <c r="B30" s="38">
        <v>45869</v>
      </c>
      <c r="C30" t="s">
        <v>148</v>
      </c>
    </row>
    <row r="31" spans="2:3" x14ac:dyDescent="0.25">
      <c r="B31" s="38">
        <v>45869</v>
      </c>
      <c r="C31" t="s">
        <v>149</v>
      </c>
    </row>
    <row r="32" spans="2:3" x14ac:dyDescent="0.25">
      <c r="B32" s="38">
        <v>45869</v>
      </c>
      <c r="C32" t="s">
        <v>150</v>
      </c>
    </row>
    <row r="33" spans="2:3" x14ac:dyDescent="0.25">
      <c r="B33" s="38">
        <v>45869</v>
      </c>
      <c r="C33" t="s">
        <v>419</v>
      </c>
    </row>
    <row r="34" spans="2:3" x14ac:dyDescent="0.25">
      <c r="B34" s="38">
        <v>45869</v>
      </c>
      <c r="C34" t="s">
        <v>152</v>
      </c>
    </row>
    <row r="35" spans="2:3" x14ac:dyDescent="0.25">
      <c r="B35" s="38">
        <v>45869</v>
      </c>
      <c r="C35" t="s">
        <v>153</v>
      </c>
    </row>
    <row r="36" spans="2:3" x14ac:dyDescent="0.25">
      <c r="B36" s="38">
        <v>45869</v>
      </c>
      <c r="C36" t="s">
        <v>154</v>
      </c>
    </row>
    <row r="37" spans="2:3" x14ac:dyDescent="0.25">
      <c r="B37" s="38">
        <v>45869</v>
      </c>
      <c r="C37" t="s">
        <v>155</v>
      </c>
    </row>
    <row r="38" spans="2:3" x14ac:dyDescent="0.25">
      <c r="B38" s="38">
        <v>45869</v>
      </c>
      <c r="C38" t="s">
        <v>157</v>
      </c>
    </row>
    <row r="39" spans="2:3" x14ac:dyDescent="0.25">
      <c r="B39" s="38">
        <v>45869</v>
      </c>
      <c r="C39" t="s">
        <v>158</v>
      </c>
    </row>
    <row r="40" spans="2:3" x14ac:dyDescent="0.25">
      <c r="B40" s="38">
        <v>45869</v>
      </c>
      <c r="C40" t="s">
        <v>159</v>
      </c>
    </row>
    <row r="41" spans="2:3" x14ac:dyDescent="0.25">
      <c r="B41" s="38">
        <v>45869</v>
      </c>
      <c r="C41" t="s">
        <v>164</v>
      </c>
    </row>
    <row r="42" spans="2:3" x14ac:dyDescent="0.25">
      <c r="B42" s="38">
        <v>45869</v>
      </c>
      <c r="C42" t="s">
        <v>165</v>
      </c>
    </row>
    <row r="43" spans="2:3" x14ac:dyDescent="0.25">
      <c r="B43" s="38">
        <v>45869</v>
      </c>
      <c r="C43" t="s">
        <v>166</v>
      </c>
    </row>
    <row r="44" spans="2:3" x14ac:dyDescent="0.25">
      <c r="B44" s="38">
        <v>45869</v>
      </c>
      <c r="C44" t="s">
        <v>317</v>
      </c>
    </row>
    <row r="45" spans="2:3" x14ac:dyDescent="0.25">
      <c r="B45" s="38">
        <v>45869</v>
      </c>
      <c r="C45" t="s">
        <v>167</v>
      </c>
    </row>
    <row r="46" spans="2:3" x14ac:dyDescent="0.25">
      <c r="B46" s="38">
        <v>45869</v>
      </c>
      <c r="C46" t="s">
        <v>168</v>
      </c>
    </row>
    <row r="47" spans="2:3" x14ac:dyDescent="0.25">
      <c r="B47" s="38">
        <v>45869</v>
      </c>
      <c r="C47" t="s">
        <v>169</v>
      </c>
    </row>
    <row r="48" spans="2:3" x14ac:dyDescent="0.25">
      <c r="B48" s="38">
        <v>45869</v>
      </c>
      <c r="C48" t="s">
        <v>170</v>
      </c>
    </row>
    <row r="49" spans="2:3" x14ac:dyDescent="0.25">
      <c r="B49" s="38">
        <v>45869</v>
      </c>
      <c r="C49" t="s">
        <v>171</v>
      </c>
    </row>
    <row r="50" spans="2:3" x14ac:dyDescent="0.25">
      <c r="B50" s="38">
        <v>45869</v>
      </c>
      <c r="C50" t="s">
        <v>172</v>
      </c>
    </row>
    <row r="51" spans="2:3" x14ac:dyDescent="0.25">
      <c r="B51" s="38">
        <v>45869</v>
      </c>
      <c r="C51" t="s">
        <v>173</v>
      </c>
    </row>
    <row r="52" spans="2:3" x14ac:dyDescent="0.25">
      <c r="B52" s="38">
        <v>45869</v>
      </c>
      <c r="C52" t="s">
        <v>160</v>
      </c>
    </row>
    <row r="53" spans="2:3" x14ac:dyDescent="0.25">
      <c r="B53" s="38">
        <v>45869</v>
      </c>
      <c r="C53" t="s">
        <v>535</v>
      </c>
    </row>
    <row r="54" spans="2:3" x14ac:dyDescent="0.25">
      <c r="B54" s="38">
        <v>45869</v>
      </c>
      <c r="C54" t="s">
        <v>175</v>
      </c>
    </row>
    <row r="55" spans="2:3" x14ac:dyDescent="0.25">
      <c r="B55" s="38">
        <v>45869</v>
      </c>
      <c r="C55" t="s">
        <v>176</v>
      </c>
    </row>
    <row r="56" spans="2:3" x14ac:dyDescent="0.25">
      <c r="B56" s="38">
        <v>45869</v>
      </c>
      <c r="C56" t="s">
        <v>178</v>
      </c>
    </row>
    <row r="57" spans="2:3" x14ac:dyDescent="0.25">
      <c r="B57" s="38">
        <v>45869</v>
      </c>
      <c r="C57" t="s">
        <v>177</v>
      </c>
    </row>
    <row r="58" spans="2:3" x14ac:dyDescent="0.25">
      <c r="B58" s="38">
        <v>45869</v>
      </c>
      <c r="C58" t="s">
        <v>200</v>
      </c>
    </row>
    <row r="59" spans="2:3" x14ac:dyDescent="0.25">
      <c r="B59" s="38">
        <v>45869</v>
      </c>
      <c r="C59" t="s">
        <v>188</v>
      </c>
    </row>
    <row r="60" spans="2:3" x14ac:dyDescent="0.25">
      <c r="B60" s="38">
        <v>45869</v>
      </c>
      <c r="C60" t="s">
        <v>184</v>
      </c>
    </row>
    <row r="61" spans="2:3" x14ac:dyDescent="0.25">
      <c r="B61" s="38">
        <v>45869</v>
      </c>
      <c r="C61" t="s">
        <v>183</v>
      </c>
    </row>
    <row r="62" spans="2:3" x14ac:dyDescent="0.25">
      <c r="B62" s="38">
        <v>45869</v>
      </c>
      <c r="C62" t="s">
        <v>534</v>
      </c>
    </row>
    <row r="63" spans="2:3" x14ac:dyDescent="0.25">
      <c r="B63" s="38">
        <v>45869</v>
      </c>
      <c r="C63" t="s">
        <v>529</v>
      </c>
    </row>
    <row r="64" spans="2:3" x14ac:dyDescent="0.25">
      <c r="B64" s="38">
        <v>45869</v>
      </c>
      <c r="C64" t="s">
        <v>191</v>
      </c>
    </row>
    <row r="65" spans="2:3" x14ac:dyDescent="0.25">
      <c r="B65" s="38">
        <v>45869</v>
      </c>
      <c r="C65" t="s">
        <v>163</v>
      </c>
    </row>
    <row r="66" spans="2:3" x14ac:dyDescent="0.25">
      <c r="B66" s="38">
        <v>45869</v>
      </c>
      <c r="C66" t="s">
        <v>182</v>
      </c>
    </row>
    <row r="67" spans="2:3" x14ac:dyDescent="0.25">
      <c r="B67" s="38">
        <v>45869</v>
      </c>
      <c r="C67" t="s">
        <v>194</v>
      </c>
    </row>
    <row r="68" spans="2:3" x14ac:dyDescent="0.25">
      <c r="B68" s="38">
        <v>45869</v>
      </c>
      <c r="C68" t="s">
        <v>196</v>
      </c>
    </row>
    <row r="69" spans="2:3" x14ac:dyDescent="0.25">
      <c r="B69" s="38">
        <v>45869</v>
      </c>
      <c r="C69" t="s">
        <v>186</v>
      </c>
    </row>
    <row r="70" spans="2:3" x14ac:dyDescent="0.25">
      <c r="B70" s="38">
        <v>45869</v>
      </c>
      <c r="C70" t="s">
        <v>198</v>
      </c>
    </row>
    <row r="71" spans="2:3" x14ac:dyDescent="0.25">
      <c r="B71" s="38">
        <v>45869</v>
      </c>
      <c r="C71" t="s">
        <v>201</v>
      </c>
    </row>
    <row r="72" spans="2:3" x14ac:dyDescent="0.25">
      <c r="B72" s="38">
        <v>45869</v>
      </c>
      <c r="C72" t="s">
        <v>205</v>
      </c>
    </row>
    <row r="73" spans="2:3" x14ac:dyDescent="0.25">
      <c r="B73" s="38">
        <v>45869</v>
      </c>
      <c r="C73" t="s">
        <v>204</v>
      </c>
    </row>
    <row r="74" spans="2:3" x14ac:dyDescent="0.25">
      <c r="B74" s="38">
        <v>45869</v>
      </c>
      <c r="C74" t="s">
        <v>206</v>
      </c>
    </row>
    <row r="75" spans="2:3" x14ac:dyDescent="0.25">
      <c r="B75" s="38">
        <v>45869</v>
      </c>
      <c r="C75" t="s">
        <v>207</v>
      </c>
    </row>
    <row r="76" spans="2:3" x14ac:dyDescent="0.25">
      <c r="B76" s="38">
        <v>45869</v>
      </c>
      <c r="C76" t="s">
        <v>209</v>
      </c>
    </row>
    <row r="77" spans="2:3" x14ac:dyDescent="0.25">
      <c r="B77" s="38">
        <v>45869</v>
      </c>
      <c r="C77" t="s">
        <v>210</v>
      </c>
    </row>
    <row r="78" spans="2:3" x14ac:dyDescent="0.25">
      <c r="B78" s="38">
        <v>45869</v>
      </c>
      <c r="C78" t="s">
        <v>211</v>
      </c>
    </row>
    <row r="79" spans="2:3" x14ac:dyDescent="0.25">
      <c r="B79" s="38">
        <v>45869</v>
      </c>
      <c r="C79" t="s">
        <v>212</v>
      </c>
    </row>
    <row r="80" spans="2:3" x14ac:dyDescent="0.25">
      <c r="B80" s="38">
        <v>45869</v>
      </c>
      <c r="C80" t="s">
        <v>344</v>
      </c>
    </row>
    <row r="81" spans="2:3" x14ac:dyDescent="0.25">
      <c r="B81" s="38">
        <v>45869</v>
      </c>
      <c r="C81" t="s">
        <v>213</v>
      </c>
    </row>
    <row r="82" spans="2:3" x14ac:dyDescent="0.25">
      <c r="B82" s="38">
        <v>45869</v>
      </c>
      <c r="C82" t="s">
        <v>214</v>
      </c>
    </row>
    <row r="83" spans="2:3" x14ac:dyDescent="0.25">
      <c r="B83" s="38">
        <v>45869</v>
      </c>
      <c r="C83" t="s">
        <v>215</v>
      </c>
    </row>
    <row r="84" spans="2:3" x14ac:dyDescent="0.25">
      <c r="B84" s="38">
        <v>45869</v>
      </c>
      <c r="C84" t="s">
        <v>217</v>
      </c>
    </row>
    <row r="85" spans="2:3" x14ac:dyDescent="0.25">
      <c r="B85" s="38">
        <v>45869</v>
      </c>
      <c r="C85" t="s">
        <v>218</v>
      </c>
    </row>
    <row r="86" spans="2:3" x14ac:dyDescent="0.25">
      <c r="B86" s="38">
        <v>45869</v>
      </c>
      <c r="C86" t="s">
        <v>219</v>
      </c>
    </row>
    <row r="87" spans="2:3" x14ac:dyDescent="0.25">
      <c r="B87" s="38">
        <v>45869</v>
      </c>
      <c r="C87" t="s">
        <v>262</v>
      </c>
    </row>
    <row r="88" spans="2:3" x14ac:dyDescent="0.25">
      <c r="B88" s="38">
        <v>45869</v>
      </c>
      <c r="C88" t="s">
        <v>220</v>
      </c>
    </row>
    <row r="89" spans="2:3" x14ac:dyDescent="0.25">
      <c r="B89" s="38">
        <v>45869</v>
      </c>
      <c r="C89" t="s">
        <v>221</v>
      </c>
    </row>
    <row r="90" spans="2:3" x14ac:dyDescent="0.25">
      <c r="B90" s="38">
        <v>45869</v>
      </c>
      <c r="C90" t="s">
        <v>222</v>
      </c>
    </row>
    <row r="91" spans="2:3" x14ac:dyDescent="0.25">
      <c r="B91" s="38">
        <v>45869</v>
      </c>
      <c r="C91" t="s">
        <v>223</v>
      </c>
    </row>
    <row r="92" spans="2:3" x14ac:dyDescent="0.25">
      <c r="B92" s="38">
        <v>45869</v>
      </c>
      <c r="C92" t="s">
        <v>346</v>
      </c>
    </row>
    <row r="93" spans="2:3" x14ac:dyDescent="0.25">
      <c r="B93" s="38">
        <v>45869</v>
      </c>
      <c r="C93" t="s">
        <v>224</v>
      </c>
    </row>
    <row r="94" spans="2:3" x14ac:dyDescent="0.25">
      <c r="B94" s="38">
        <v>45869</v>
      </c>
      <c r="C94" t="s">
        <v>225</v>
      </c>
    </row>
    <row r="95" spans="2:3" x14ac:dyDescent="0.25">
      <c r="B95" s="38">
        <v>45869</v>
      </c>
      <c r="C95" t="s">
        <v>226</v>
      </c>
    </row>
    <row r="96" spans="2:3" x14ac:dyDescent="0.25">
      <c r="B96" s="38">
        <v>45869</v>
      </c>
      <c r="C96" t="s">
        <v>227</v>
      </c>
    </row>
    <row r="97" spans="2:3" x14ac:dyDescent="0.25">
      <c r="B97" s="38">
        <v>45869</v>
      </c>
      <c r="C97" t="s">
        <v>228</v>
      </c>
    </row>
    <row r="98" spans="2:3" x14ac:dyDescent="0.25">
      <c r="B98" s="38">
        <v>45869</v>
      </c>
      <c r="C98" t="s">
        <v>229</v>
      </c>
    </row>
    <row r="99" spans="2:3" x14ac:dyDescent="0.25">
      <c r="B99" s="38">
        <v>45869</v>
      </c>
      <c r="C99" t="s">
        <v>230</v>
      </c>
    </row>
    <row r="100" spans="2:3" x14ac:dyDescent="0.25">
      <c r="B100" s="38">
        <v>45869</v>
      </c>
      <c r="C100" t="s">
        <v>231</v>
      </c>
    </row>
    <row r="101" spans="2:3" x14ac:dyDescent="0.25">
      <c r="B101" s="38">
        <v>45869</v>
      </c>
      <c r="C101" t="s">
        <v>261</v>
      </c>
    </row>
    <row r="102" spans="2:3" x14ac:dyDescent="0.25">
      <c r="B102" s="38">
        <v>45869</v>
      </c>
      <c r="C102" t="s">
        <v>233</v>
      </c>
    </row>
    <row r="103" spans="2:3" x14ac:dyDescent="0.25">
      <c r="B103" s="38">
        <v>45869</v>
      </c>
      <c r="C103" t="s">
        <v>234</v>
      </c>
    </row>
    <row r="104" spans="2:3" x14ac:dyDescent="0.25">
      <c r="B104" s="38">
        <v>45869</v>
      </c>
      <c r="C104" t="s">
        <v>235</v>
      </c>
    </row>
    <row r="105" spans="2:3" x14ac:dyDescent="0.25">
      <c r="B105" s="38">
        <v>45869</v>
      </c>
      <c r="C105" t="s">
        <v>236</v>
      </c>
    </row>
    <row r="106" spans="2:3" x14ac:dyDescent="0.25">
      <c r="B106" s="38">
        <v>45869</v>
      </c>
      <c r="C106" t="s">
        <v>237</v>
      </c>
    </row>
    <row r="107" spans="2:3" x14ac:dyDescent="0.25">
      <c r="B107" s="38">
        <v>45869</v>
      </c>
      <c r="C107" t="s">
        <v>238</v>
      </c>
    </row>
    <row r="108" spans="2:3" x14ac:dyDescent="0.25">
      <c r="B108" s="38">
        <v>45869</v>
      </c>
      <c r="C108" t="s">
        <v>239</v>
      </c>
    </row>
    <row r="109" spans="2:3" x14ac:dyDescent="0.25">
      <c r="B109" s="38">
        <v>45869</v>
      </c>
      <c r="C109" t="s">
        <v>240</v>
      </c>
    </row>
    <row r="110" spans="2:3" x14ac:dyDescent="0.25">
      <c r="B110" s="38">
        <v>45869</v>
      </c>
      <c r="C110" t="s">
        <v>241</v>
      </c>
    </row>
    <row r="111" spans="2:3" x14ac:dyDescent="0.25">
      <c r="B111" s="38">
        <v>45869</v>
      </c>
      <c r="C111" t="s">
        <v>190</v>
      </c>
    </row>
    <row r="112" spans="2:3" x14ac:dyDescent="0.25">
      <c r="B112" s="38">
        <v>45869</v>
      </c>
      <c r="C112" t="s">
        <v>242</v>
      </c>
    </row>
    <row r="113" spans="2:3" x14ac:dyDescent="0.25">
      <c r="B113" s="38">
        <v>45869</v>
      </c>
      <c r="C113" t="s">
        <v>246</v>
      </c>
    </row>
    <row r="114" spans="2:3" x14ac:dyDescent="0.25">
      <c r="B114" s="38">
        <v>45869</v>
      </c>
      <c r="C114" t="s">
        <v>247</v>
      </c>
    </row>
    <row r="115" spans="2:3" x14ac:dyDescent="0.25">
      <c r="B115" s="38">
        <v>45869</v>
      </c>
      <c r="C115" t="s">
        <v>249</v>
      </c>
    </row>
    <row r="116" spans="2:3" x14ac:dyDescent="0.25">
      <c r="B116" s="38">
        <v>45869</v>
      </c>
      <c r="C116" t="s">
        <v>253</v>
      </c>
    </row>
    <row r="117" spans="2:3" x14ac:dyDescent="0.25">
      <c r="B117" s="38">
        <v>45869</v>
      </c>
      <c r="C117" t="s">
        <v>254</v>
      </c>
    </row>
    <row r="118" spans="2:3" x14ac:dyDescent="0.25">
      <c r="B118" s="38">
        <v>45869</v>
      </c>
      <c r="C118" t="s">
        <v>255</v>
      </c>
    </row>
    <row r="119" spans="2:3" x14ac:dyDescent="0.25">
      <c r="B119" s="38">
        <v>45869</v>
      </c>
      <c r="C119" t="s">
        <v>257</v>
      </c>
    </row>
    <row r="120" spans="2:3" x14ac:dyDescent="0.25">
      <c r="B120" s="38">
        <v>45869</v>
      </c>
      <c r="C120" t="s">
        <v>263</v>
      </c>
    </row>
    <row r="121" spans="2:3" x14ac:dyDescent="0.25">
      <c r="B121" s="38">
        <v>45869</v>
      </c>
      <c r="C121" t="s">
        <v>264</v>
      </c>
    </row>
    <row r="122" spans="2:3" x14ac:dyDescent="0.25">
      <c r="B122" s="38">
        <v>45869</v>
      </c>
      <c r="C122" t="s">
        <v>265</v>
      </c>
    </row>
    <row r="123" spans="2:3" x14ac:dyDescent="0.25">
      <c r="B123" s="38">
        <v>45869</v>
      </c>
      <c r="C123" t="s">
        <v>266</v>
      </c>
    </row>
    <row r="124" spans="2:3" x14ac:dyDescent="0.25">
      <c r="B124" s="38">
        <v>45869</v>
      </c>
      <c r="C124" t="s">
        <v>267</v>
      </c>
    </row>
    <row r="125" spans="2:3" x14ac:dyDescent="0.25">
      <c r="B125" s="38">
        <v>45869</v>
      </c>
      <c r="C125" t="s">
        <v>277</v>
      </c>
    </row>
    <row r="126" spans="2:3" x14ac:dyDescent="0.25">
      <c r="B126" s="38">
        <v>45869</v>
      </c>
      <c r="C126" t="s">
        <v>374</v>
      </c>
    </row>
    <row r="127" spans="2:3" x14ac:dyDescent="0.25">
      <c r="B127" s="38">
        <v>45869</v>
      </c>
      <c r="C127" t="s">
        <v>595</v>
      </c>
    </row>
    <row r="128" spans="2:3" x14ac:dyDescent="0.25">
      <c r="B128" s="38">
        <v>45869</v>
      </c>
      <c r="C128" t="s">
        <v>378</v>
      </c>
    </row>
    <row r="129" spans="2:3" x14ac:dyDescent="0.25">
      <c r="B129" s="38">
        <v>45869</v>
      </c>
      <c r="C129" t="s">
        <v>380</v>
      </c>
    </row>
    <row r="130" spans="2:3" x14ac:dyDescent="0.25">
      <c r="B130" s="38">
        <v>45869</v>
      </c>
      <c r="C130" t="s">
        <v>381</v>
      </c>
    </row>
    <row r="131" spans="2:3" x14ac:dyDescent="0.25">
      <c r="B131" s="38">
        <v>45869</v>
      </c>
      <c r="C131" t="s">
        <v>278</v>
      </c>
    </row>
    <row r="132" spans="2:3" x14ac:dyDescent="0.25">
      <c r="B132" s="38">
        <v>45869</v>
      </c>
      <c r="C132" t="s">
        <v>232</v>
      </c>
    </row>
    <row r="133" spans="2:3" x14ac:dyDescent="0.25">
      <c r="B133" s="38">
        <v>45869</v>
      </c>
      <c r="C133" t="s">
        <v>245</v>
      </c>
    </row>
    <row r="134" spans="2:3" x14ac:dyDescent="0.25">
      <c r="B134" s="38">
        <v>45869</v>
      </c>
      <c r="C134" t="s">
        <v>272</v>
      </c>
    </row>
    <row r="135" spans="2:3" x14ac:dyDescent="0.25">
      <c r="B135" s="38">
        <v>45869</v>
      </c>
      <c r="C135" t="s">
        <v>250</v>
      </c>
    </row>
    <row r="136" spans="2:3" x14ac:dyDescent="0.25">
      <c r="B136" s="38">
        <v>45869</v>
      </c>
      <c r="C136" t="s">
        <v>251</v>
      </c>
    </row>
    <row r="137" spans="2:3" x14ac:dyDescent="0.25">
      <c r="B137" s="38">
        <v>45869</v>
      </c>
      <c r="C137" t="s">
        <v>252</v>
      </c>
    </row>
    <row r="138" spans="2:3" x14ac:dyDescent="0.25">
      <c r="B138" s="38">
        <v>45869</v>
      </c>
      <c r="C138" s="37" t="s">
        <v>256</v>
      </c>
    </row>
    <row r="139" spans="2:3" x14ac:dyDescent="0.25">
      <c r="B139" s="38">
        <v>45869</v>
      </c>
      <c r="C139" t="s">
        <v>243</v>
      </c>
    </row>
    <row r="140" spans="2:3" x14ac:dyDescent="0.25">
      <c r="B140" s="38">
        <v>45869</v>
      </c>
      <c r="C140" t="s">
        <v>258</v>
      </c>
    </row>
    <row r="141" spans="2:3" x14ac:dyDescent="0.25">
      <c r="B141" s="38">
        <v>45869</v>
      </c>
      <c r="C141" t="s">
        <v>259</v>
      </c>
    </row>
    <row r="142" spans="2:3" x14ac:dyDescent="0.25">
      <c r="B142" s="38">
        <v>45869</v>
      </c>
      <c r="C142" t="s">
        <v>202</v>
      </c>
    </row>
    <row r="143" spans="2:3" x14ac:dyDescent="0.25">
      <c r="B143" s="38">
        <v>45869</v>
      </c>
      <c r="C143" t="s">
        <v>203</v>
      </c>
    </row>
    <row r="144" spans="2:3" x14ac:dyDescent="0.25">
      <c r="B144" s="38">
        <v>45869</v>
      </c>
      <c r="C144" t="s">
        <v>208</v>
      </c>
    </row>
    <row r="145" spans="2:3" x14ac:dyDescent="0.25">
      <c r="B145" s="38">
        <v>45869</v>
      </c>
      <c r="C145" t="s">
        <v>271</v>
      </c>
    </row>
    <row r="146" spans="2:3" x14ac:dyDescent="0.25">
      <c r="B146" s="38">
        <v>45869</v>
      </c>
      <c r="C146" t="s">
        <v>269</v>
      </c>
    </row>
    <row r="147" spans="2:3" x14ac:dyDescent="0.25">
      <c r="B147" s="38">
        <v>45869</v>
      </c>
      <c r="C147" t="s">
        <v>270</v>
      </c>
    </row>
    <row r="148" spans="2:3" x14ac:dyDescent="0.25">
      <c r="B148" s="38">
        <v>45869</v>
      </c>
      <c r="C148" t="s">
        <v>268</v>
      </c>
    </row>
    <row r="149" spans="2:3" x14ac:dyDescent="0.25">
      <c r="B149" s="38">
        <v>45869</v>
      </c>
      <c r="C149" t="s">
        <v>248</v>
      </c>
    </row>
    <row r="150" spans="2:3" x14ac:dyDescent="0.25">
      <c r="B150" s="38">
        <v>45869</v>
      </c>
      <c r="C150" t="s">
        <v>273</v>
      </c>
    </row>
    <row r="151" spans="2:3" x14ac:dyDescent="0.25">
      <c r="B151" s="38">
        <v>45869</v>
      </c>
      <c r="C151" t="s">
        <v>274</v>
      </c>
    </row>
    <row r="152" spans="2:3" x14ac:dyDescent="0.25">
      <c r="B152" s="38">
        <v>45869</v>
      </c>
      <c r="C152" t="s">
        <v>275</v>
      </c>
    </row>
    <row r="153" spans="2:3" x14ac:dyDescent="0.25">
      <c r="B153" s="38">
        <v>45869</v>
      </c>
      <c r="C153" t="s">
        <v>276</v>
      </c>
    </row>
    <row r="154" spans="2:3" x14ac:dyDescent="0.25">
      <c r="B154" s="38">
        <v>45869</v>
      </c>
      <c r="C154" t="s">
        <v>372</v>
      </c>
    </row>
    <row r="155" spans="2:3" x14ac:dyDescent="0.25">
      <c r="B155" s="38">
        <v>45869</v>
      </c>
      <c r="C155" t="s">
        <v>216</v>
      </c>
    </row>
    <row r="156" spans="2:3" x14ac:dyDescent="0.25">
      <c r="B156" s="38">
        <v>45869</v>
      </c>
      <c r="C156" t="s">
        <v>244</v>
      </c>
    </row>
    <row r="157" spans="2:3" x14ac:dyDescent="0.25">
      <c r="B157" s="38">
        <v>45869</v>
      </c>
      <c r="C157" t="s">
        <v>279</v>
      </c>
    </row>
    <row r="158" spans="2:3" x14ac:dyDescent="0.25">
      <c r="B158" s="38">
        <v>45869</v>
      </c>
      <c r="C158" t="s">
        <v>280</v>
      </c>
    </row>
    <row r="159" spans="2:3" x14ac:dyDescent="0.25">
      <c r="B159" s="38">
        <v>45869</v>
      </c>
      <c r="C159" t="s">
        <v>289</v>
      </c>
    </row>
    <row r="160" spans="2:3" x14ac:dyDescent="0.25">
      <c r="B160" s="38">
        <v>45869</v>
      </c>
      <c r="C160" t="s">
        <v>281</v>
      </c>
    </row>
    <row r="161" spans="2:3" x14ac:dyDescent="0.25">
      <c r="B161" s="38">
        <v>45869</v>
      </c>
      <c r="C161" t="s">
        <v>290</v>
      </c>
    </row>
    <row r="162" spans="2:3" x14ac:dyDescent="0.25">
      <c r="B162" s="38">
        <v>45869</v>
      </c>
      <c r="C162" t="s">
        <v>291</v>
      </c>
    </row>
    <row r="163" spans="2:3" x14ac:dyDescent="0.25">
      <c r="B163" s="38">
        <v>45869</v>
      </c>
      <c r="C163" t="s">
        <v>197</v>
      </c>
    </row>
    <row r="164" spans="2:3" x14ac:dyDescent="0.25">
      <c r="B164" s="38">
        <v>45869</v>
      </c>
      <c r="C164" t="s">
        <v>282</v>
      </c>
    </row>
    <row r="165" spans="2:3" x14ac:dyDescent="0.25">
      <c r="B165" s="38">
        <v>45869</v>
      </c>
      <c r="C165" t="s">
        <v>283</v>
      </c>
    </row>
    <row r="166" spans="2:3" x14ac:dyDescent="0.25">
      <c r="B166" s="38">
        <v>45869</v>
      </c>
      <c r="C166" t="s">
        <v>284</v>
      </c>
    </row>
    <row r="167" spans="2:3" x14ac:dyDescent="0.25">
      <c r="B167" s="38">
        <v>45869</v>
      </c>
      <c r="C167" t="s">
        <v>292</v>
      </c>
    </row>
    <row r="168" spans="2:3" x14ac:dyDescent="0.25">
      <c r="B168" s="38">
        <v>45869</v>
      </c>
      <c r="C168" t="s">
        <v>285</v>
      </c>
    </row>
    <row r="169" spans="2:3" x14ac:dyDescent="0.25">
      <c r="B169" s="38">
        <v>45869</v>
      </c>
      <c r="C169" t="s">
        <v>293</v>
      </c>
    </row>
    <row r="170" spans="2:3" x14ac:dyDescent="0.25">
      <c r="B170" s="38">
        <v>45869</v>
      </c>
      <c r="C170" t="s">
        <v>286</v>
      </c>
    </row>
    <row r="171" spans="2:3" x14ac:dyDescent="0.25">
      <c r="B171" s="38">
        <v>45869</v>
      </c>
      <c r="C171" t="s">
        <v>295</v>
      </c>
    </row>
    <row r="172" spans="2:3" x14ac:dyDescent="0.25">
      <c r="B172" s="38">
        <v>45869</v>
      </c>
      <c r="C172" t="s">
        <v>329</v>
      </c>
    </row>
    <row r="173" spans="2:3" x14ac:dyDescent="0.25">
      <c r="B173" s="38">
        <v>45869</v>
      </c>
      <c r="C173" t="s">
        <v>384</v>
      </c>
    </row>
    <row r="174" spans="2:3" x14ac:dyDescent="0.25">
      <c r="B174" s="38">
        <v>45869</v>
      </c>
      <c r="C174" s="37" t="s">
        <v>395</v>
      </c>
    </row>
    <row r="175" spans="2:3" x14ac:dyDescent="0.25">
      <c r="B175" s="38">
        <v>45869</v>
      </c>
      <c r="C175" s="37" t="s">
        <v>397</v>
      </c>
    </row>
    <row r="176" spans="2:3" x14ac:dyDescent="0.25">
      <c r="B176" s="38">
        <v>45869</v>
      </c>
      <c r="C176" s="37" t="s">
        <v>399</v>
      </c>
    </row>
    <row r="177" spans="2:3" x14ac:dyDescent="0.25">
      <c r="B177" s="38">
        <v>45869</v>
      </c>
      <c r="C177" t="s">
        <v>410</v>
      </c>
    </row>
    <row r="178" spans="2:3" x14ac:dyDescent="0.25">
      <c r="B178" s="38">
        <v>45869</v>
      </c>
      <c r="C178" t="s">
        <v>400</v>
      </c>
    </row>
    <row r="179" spans="2:3" x14ac:dyDescent="0.25">
      <c r="B179" s="38">
        <v>45869</v>
      </c>
      <c r="C179" t="s">
        <v>403</v>
      </c>
    </row>
    <row r="180" spans="2:3" x14ac:dyDescent="0.25">
      <c r="B180" s="38">
        <v>45869</v>
      </c>
      <c r="C180" t="s">
        <v>405</v>
      </c>
    </row>
    <row r="181" spans="2:3" x14ac:dyDescent="0.25">
      <c r="B181" s="38">
        <v>45869</v>
      </c>
      <c r="C181" t="s">
        <v>406</v>
      </c>
    </row>
    <row r="182" spans="2:3" x14ac:dyDescent="0.25">
      <c r="B182" s="38">
        <v>45878</v>
      </c>
      <c r="C182" t="s">
        <v>417</v>
      </c>
    </row>
    <row r="183" spans="2:3" x14ac:dyDescent="0.25">
      <c r="B183" s="38">
        <v>45878</v>
      </c>
      <c r="C183" t="s">
        <v>415</v>
      </c>
    </row>
    <row r="184" spans="2:3" x14ac:dyDescent="0.25">
      <c r="B184" s="38">
        <v>45878</v>
      </c>
      <c r="C184" t="s">
        <v>414</v>
      </c>
    </row>
    <row r="185" spans="2:3" x14ac:dyDescent="0.25">
      <c r="B185" s="38">
        <v>45880</v>
      </c>
      <c r="C185" t="s">
        <v>416</v>
      </c>
    </row>
    <row r="186" spans="2:3" x14ac:dyDescent="0.25">
      <c r="B186" s="38">
        <v>45880</v>
      </c>
      <c r="C186" t="s">
        <v>420</v>
      </c>
    </row>
    <row r="187" spans="2:3" x14ac:dyDescent="0.25">
      <c r="B187" s="38">
        <v>45880</v>
      </c>
      <c r="C187" t="s">
        <v>421</v>
      </c>
    </row>
    <row r="188" spans="2:3" x14ac:dyDescent="0.25">
      <c r="B188" s="38">
        <v>45880</v>
      </c>
      <c r="C188" t="s">
        <v>423</v>
      </c>
    </row>
    <row r="189" spans="2:3" x14ac:dyDescent="0.25">
      <c r="B189" s="38">
        <v>45880</v>
      </c>
      <c r="C189" t="s">
        <v>424</v>
      </c>
    </row>
    <row r="190" spans="2:3" x14ac:dyDescent="0.25">
      <c r="B190" s="38">
        <v>45880</v>
      </c>
      <c r="C190" t="s">
        <v>425</v>
      </c>
    </row>
    <row r="191" spans="2:3" x14ac:dyDescent="0.25">
      <c r="B191" s="38">
        <v>45880</v>
      </c>
      <c r="C191" t="s">
        <v>427</v>
      </c>
    </row>
    <row r="192" spans="2:3" x14ac:dyDescent="0.25">
      <c r="B192" s="38">
        <v>45880</v>
      </c>
      <c r="C192" t="s">
        <v>429</v>
      </c>
    </row>
    <row r="193" spans="2:3" x14ac:dyDescent="0.25">
      <c r="B193" s="38">
        <v>45882</v>
      </c>
      <c r="C193" t="s">
        <v>432</v>
      </c>
    </row>
    <row r="194" spans="2:3" x14ac:dyDescent="0.25">
      <c r="B194" s="38">
        <v>45885</v>
      </c>
      <c r="C194" s="37" t="s">
        <v>434</v>
      </c>
    </row>
    <row r="195" spans="2:3" x14ac:dyDescent="0.25">
      <c r="B195" s="38">
        <v>45890</v>
      </c>
      <c r="C195" t="s">
        <v>437</v>
      </c>
    </row>
    <row r="196" spans="2:3" x14ac:dyDescent="0.25">
      <c r="B196" s="38">
        <v>45890</v>
      </c>
      <c r="C196" t="s">
        <v>438</v>
      </c>
    </row>
    <row r="197" spans="2:3" x14ac:dyDescent="0.25">
      <c r="B197" s="38">
        <v>45890</v>
      </c>
      <c r="C197" t="s">
        <v>439</v>
      </c>
    </row>
    <row r="198" spans="2:3" x14ac:dyDescent="0.25">
      <c r="B198" s="38">
        <v>45890</v>
      </c>
      <c r="C198" t="s">
        <v>440</v>
      </c>
    </row>
    <row r="199" spans="2:3" x14ac:dyDescent="0.25">
      <c r="B199" s="38">
        <v>45890</v>
      </c>
      <c r="C199" t="s">
        <v>532</v>
      </c>
    </row>
    <row r="200" spans="2:3" x14ac:dyDescent="0.25">
      <c r="B200" s="38">
        <v>45890</v>
      </c>
      <c r="C200" t="s">
        <v>441</v>
      </c>
    </row>
    <row r="201" spans="2:3" x14ac:dyDescent="0.25">
      <c r="B201" s="38">
        <v>45890</v>
      </c>
      <c r="C201" t="s">
        <v>442</v>
      </c>
    </row>
    <row r="202" spans="2:3" x14ac:dyDescent="0.25">
      <c r="B202" s="38">
        <v>45890</v>
      </c>
      <c r="C202" t="s">
        <v>443</v>
      </c>
    </row>
    <row r="203" spans="2:3" x14ac:dyDescent="0.25">
      <c r="B203" s="38">
        <v>45890</v>
      </c>
      <c r="C203" t="s">
        <v>445</v>
      </c>
    </row>
    <row r="204" spans="2:3" x14ac:dyDescent="0.25">
      <c r="B204" s="38">
        <v>45890</v>
      </c>
      <c r="C204" t="s">
        <v>448</v>
      </c>
    </row>
    <row r="205" spans="2:3" x14ac:dyDescent="0.25">
      <c r="B205" s="38">
        <v>45891</v>
      </c>
      <c r="C205" t="s">
        <v>452</v>
      </c>
    </row>
    <row r="206" spans="2:3" x14ac:dyDescent="0.25">
      <c r="B206" s="38">
        <v>45894</v>
      </c>
      <c r="C206" t="s">
        <v>454</v>
      </c>
    </row>
    <row r="207" spans="2:3" x14ac:dyDescent="0.25">
      <c r="B207" s="38">
        <v>45894</v>
      </c>
      <c r="C207" t="s">
        <v>456</v>
      </c>
    </row>
    <row r="208" spans="2:3" x14ac:dyDescent="0.25">
      <c r="B208" s="38">
        <v>45894</v>
      </c>
      <c r="C208" t="s">
        <v>483</v>
      </c>
    </row>
    <row r="209" spans="2:3" x14ac:dyDescent="0.25">
      <c r="B209" s="38">
        <v>45894</v>
      </c>
      <c r="C209" t="s">
        <v>458</v>
      </c>
    </row>
    <row r="210" spans="2:3" x14ac:dyDescent="0.25">
      <c r="B210" s="38">
        <v>45895</v>
      </c>
      <c r="C210" s="37" t="s">
        <v>461</v>
      </c>
    </row>
    <row r="211" spans="2:3" x14ac:dyDescent="0.25">
      <c r="B211" s="38">
        <v>45899</v>
      </c>
      <c r="C211" t="s">
        <v>465</v>
      </c>
    </row>
    <row r="212" spans="2:3" x14ac:dyDescent="0.25">
      <c r="B212" s="38">
        <v>45899</v>
      </c>
      <c r="C212" t="s">
        <v>466</v>
      </c>
    </row>
    <row r="213" spans="2:3" x14ac:dyDescent="0.25">
      <c r="B213" s="38">
        <v>45899</v>
      </c>
      <c r="C213" t="s">
        <v>467</v>
      </c>
    </row>
    <row r="214" spans="2:3" x14ac:dyDescent="0.25">
      <c r="B214" s="38">
        <v>45899</v>
      </c>
      <c r="C214" t="s">
        <v>468</v>
      </c>
    </row>
    <row r="215" spans="2:3" x14ac:dyDescent="0.25">
      <c r="B215" s="38">
        <v>45899</v>
      </c>
      <c r="C215" t="s">
        <v>473</v>
      </c>
    </row>
    <row r="216" spans="2:3" x14ac:dyDescent="0.25">
      <c r="B216" s="38">
        <v>45899</v>
      </c>
      <c r="C216" t="s">
        <v>469</v>
      </c>
    </row>
    <row r="217" spans="2:3" x14ac:dyDescent="0.25">
      <c r="B217" s="38">
        <v>45899</v>
      </c>
      <c r="C217" t="s">
        <v>470</v>
      </c>
    </row>
    <row r="218" spans="2:3" x14ac:dyDescent="0.25">
      <c r="B218" s="38">
        <v>45899</v>
      </c>
      <c r="C218" t="s">
        <v>471</v>
      </c>
    </row>
    <row r="219" spans="2:3" x14ac:dyDescent="0.25">
      <c r="B219" s="38">
        <v>45899</v>
      </c>
      <c r="C219" t="s">
        <v>472</v>
      </c>
    </row>
    <row r="220" spans="2:3" x14ac:dyDescent="0.25">
      <c r="B220" s="38">
        <v>45903</v>
      </c>
      <c r="C220" s="36" t="s">
        <v>480</v>
      </c>
    </row>
    <row r="221" spans="2:3" x14ac:dyDescent="0.25">
      <c r="B221" s="38">
        <v>45912</v>
      </c>
      <c r="C221" t="s">
        <v>484</v>
      </c>
    </row>
    <row r="222" spans="2:3" x14ac:dyDescent="0.25">
      <c r="B222" s="38">
        <v>45915</v>
      </c>
      <c r="C222" t="s">
        <v>486</v>
      </c>
    </row>
    <row r="223" spans="2:3" x14ac:dyDescent="0.25">
      <c r="B223" s="38">
        <v>45915</v>
      </c>
      <c r="C223" t="s">
        <v>488</v>
      </c>
    </row>
    <row r="224" spans="2:3" x14ac:dyDescent="0.25">
      <c r="B224" s="38">
        <v>45915</v>
      </c>
      <c r="C224" t="s">
        <v>489</v>
      </c>
    </row>
    <row r="225" spans="2:3" x14ac:dyDescent="0.25">
      <c r="B225" s="38">
        <v>45915</v>
      </c>
      <c r="C225" t="s">
        <v>533</v>
      </c>
    </row>
    <row r="226" spans="2:3" x14ac:dyDescent="0.25">
      <c r="B226" s="38">
        <v>45915</v>
      </c>
      <c r="C226" t="s">
        <v>490</v>
      </c>
    </row>
    <row r="227" spans="2:3" x14ac:dyDescent="0.25">
      <c r="B227" s="38">
        <v>45915</v>
      </c>
      <c r="C227" t="s">
        <v>491</v>
      </c>
    </row>
    <row r="228" spans="2:3" x14ac:dyDescent="0.25">
      <c r="B228" s="38">
        <v>45915</v>
      </c>
      <c r="C228" t="s">
        <v>492</v>
      </c>
    </row>
    <row r="229" spans="2:3" x14ac:dyDescent="0.25">
      <c r="B229" s="38">
        <v>45915</v>
      </c>
      <c r="C229" t="s">
        <v>493</v>
      </c>
    </row>
    <row r="230" spans="2:3" x14ac:dyDescent="0.25">
      <c r="B230" s="38">
        <v>45927</v>
      </c>
      <c r="C230" t="s">
        <v>496</v>
      </c>
    </row>
    <row r="231" spans="2:3" x14ac:dyDescent="0.25">
      <c r="B231" s="38">
        <v>45930</v>
      </c>
      <c r="C231" t="s">
        <v>497</v>
      </c>
    </row>
    <row r="232" spans="2:3" x14ac:dyDescent="0.25">
      <c r="B232" s="38">
        <v>45930</v>
      </c>
      <c r="C232" s="36" t="s">
        <v>499</v>
      </c>
    </row>
    <row r="233" spans="2:3" x14ac:dyDescent="0.25">
      <c r="B233" s="38">
        <v>45931</v>
      </c>
      <c r="C233" t="s">
        <v>502</v>
      </c>
    </row>
    <row r="234" spans="2:3" x14ac:dyDescent="0.25">
      <c r="B234" s="38">
        <v>45932</v>
      </c>
      <c r="C234" t="s">
        <v>504</v>
      </c>
    </row>
    <row r="235" spans="2:3" x14ac:dyDescent="0.25">
      <c r="B235" s="38">
        <v>45932</v>
      </c>
      <c r="C235" t="s">
        <v>506</v>
      </c>
    </row>
    <row r="236" spans="2:3" x14ac:dyDescent="0.25">
      <c r="B236" s="38">
        <v>45932</v>
      </c>
      <c r="C236" t="s">
        <v>508</v>
      </c>
    </row>
    <row r="237" spans="2:3" x14ac:dyDescent="0.25">
      <c r="B237" s="38">
        <v>45945</v>
      </c>
      <c r="C237" t="s">
        <v>512</v>
      </c>
    </row>
    <row r="238" spans="2:3" x14ac:dyDescent="0.25">
      <c r="B238" s="38">
        <v>45945</v>
      </c>
      <c r="C238" s="37" t="s">
        <v>514</v>
      </c>
    </row>
    <row r="239" spans="2:3" x14ac:dyDescent="0.25">
      <c r="B239" s="38">
        <v>45945</v>
      </c>
      <c r="C239" s="37" t="s">
        <v>515</v>
      </c>
    </row>
    <row r="240" spans="2:3" x14ac:dyDescent="0.25">
      <c r="B240" s="38">
        <v>45945</v>
      </c>
      <c r="C240" s="37" t="s">
        <v>517</v>
      </c>
    </row>
    <row r="241" spans="2:3" x14ac:dyDescent="0.25">
      <c r="B241" s="38">
        <v>45945</v>
      </c>
      <c r="C241" s="37" t="s">
        <v>518</v>
      </c>
    </row>
    <row r="242" spans="2:3" x14ac:dyDescent="0.25">
      <c r="B242" s="38">
        <v>45945</v>
      </c>
      <c r="C242" s="37" t="s">
        <v>520</v>
      </c>
    </row>
    <row r="243" spans="2:3" x14ac:dyDescent="0.25">
      <c r="B243" s="38">
        <v>45945</v>
      </c>
      <c r="C243" s="37" t="s">
        <v>521</v>
      </c>
    </row>
    <row r="244" spans="2:3" x14ac:dyDescent="0.25">
      <c r="B244" s="38">
        <v>45945</v>
      </c>
      <c r="C244" s="37" t="s">
        <v>523</v>
      </c>
    </row>
    <row r="245" spans="2:3" x14ac:dyDescent="0.25">
      <c r="B245" s="38">
        <v>45945</v>
      </c>
      <c r="C245" s="37" t="s">
        <v>525</v>
      </c>
    </row>
    <row r="246" spans="2:3" x14ac:dyDescent="0.25">
      <c r="B246" s="38">
        <v>45945</v>
      </c>
      <c r="C246" s="37" t="s">
        <v>524</v>
      </c>
    </row>
    <row r="247" spans="2:3" x14ac:dyDescent="0.25">
      <c r="B247" s="38">
        <v>45945</v>
      </c>
      <c r="C247" t="s">
        <v>526</v>
      </c>
    </row>
    <row r="248" spans="2:3" x14ac:dyDescent="0.25">
      <c r="B248" s="38">
        <v>45945</v>
      </c>
      <c r="C248" t="s">
        <v>530</v>
      </c>
    </row>
    <row r="249" spans="2:3" x14ac:dyDescent="0.25">
      <c r="B249" s="38">
        <v>45945</v>
      </c>
      <c r="C249" t="s">
        <v>527</v>
      </c>
    </row>
    <row r="250" spans="2:3" x14ac:dyDescent="0.25">
      <c r="B250" s="38">
        <v>45948</v>
      </c>
      <c r="C250" t="s">
        <v>537</v>
      </c>
    </row>
    <row r="251" spans="2:3" x14ac:dyDescent="0.25">
      <c r="B251" s="38">
        <v>45965</v>
      </c>
      <c r="C251" t="s">
        <v>541</v>
      </c>
    </row>
    <row r="252" spans="2:3" x14ac:dyDescent="0.25">
      <c r="B252" s="38">
        <v>45966</v>
      </c>
      <c r="C252" t="s">
        <v>543</v>
      </c>
    </row>
    <row r="253" spans="2:3" x14ac:dyDescent="0.25">
      <c r="B253" s="38">
        <v>45968</v>
      </c>
      <c r="C253" t="s">
        <v>545</v>
      </c>
    </row>
    <row r="254" spans="2:3" x14ac:dyDescent="0.25">
      <c r="B254" s="38">
        <v>45968</v>
      </c>
      <c r="C254" t="s">
        <v>546</v>
      </c>
    </row>
    <row r="255" spans="2:3" x14ac:dyDescent="0.25">
      <c r="B255" s="38">
        <v>45969</v>
      </c>
      <c r="C255" t="s">
        <v>547</v>
      </c>
    </row>
    <row r="256" spans="2:3" x14ac:dyDescent="0.25">
      <c r="B256" s="38">
        <v>45969</v>
      </c>
      <c r="C256" t="s">
        <v>548</v>
      </c>
    </row>
    <row r="257" spans="2:3" x14ac:dyDescent="0.25">
      <c r="B257" s="38">
        <v>45969</v>
      </c>
      <c r="C257" t="s">
        <v>550</v>
      </c>
    </row>
    <row r="258" spans="2:3" x14ac:dyDescent="0.25">
      <c r="B258" s="38">
        <v>45969</v>
      </c>
      <c r="C258" t="s">
        <v>551</v>
      </c>
    </row>
    <row r="259" spans="2:3" x14ac:dyDescent="0.25">
      <c r="B259" s="38">
        <v>45969</v>
      </c>
      <c r="C259" t="s">
        <v>552</v>
      </c>
    </row>
    <row r="260" spans="2:3" x14ac:dyDescent="0.25">
      <c r="B260" s="38">
        <v>45980</v>
      </c>
      <c r="C260" t="s">
        <v>556</v>
      </c>
    </row>
    <row r="261" spans="2:3" x14ac:dyDescent="0.25">
      <c r="B261" s="38">
        <v>45980</v>
      </c>
      <c r="C261" t="s">
        <v>557</v>
      </c>
    </row>
    <row r="262" spans="2:3" x14ac:dyDescent="0.25">
      <c r="B262" s="38">
        <v>45980</v>
      </c>
      <c r="C262" t="s">
        <v>558</v>
      </c>
    </row>
    <row r="263" spans="2:3" x14ac:dyDescent="0.25">
      <c r="B263" s="38">
        <v>45980</v>
      </c>
      <c r="C263" t="s">
        <v>559</v>
      </c>
    </row>
    <row r="264" spans="2:3" x14ac:dyDescent="0.25">
      <c r="B264" s="38">
        <v>45980</v>
      </c>
      <c r="C264" t="s">
        <v>562</v>
      </c>
    </row>
    <row r="265" spans="2:3" x14ac:dyDescent="0.25">
      <c r="B265" s="38">
        <v>45982</v>
      </c>
      <c r="C265" t="s">
        <v>565</v>
      </c>
    </row>
    <row r="266" spans="2:3" x14ac:dyDescent="0.25">
      <c r="B266" s="38">
        <v>45982</v>
      </c>
      <c r="C266" t="s">
        <v>566</v>
      </c>
    </row>
    <row r="267" spans="2:3" x14ac:dyDescent="0.25">
      <c r="B267" s="38">
        <v>45982</v>
      </c>
      <c r="C267" t="s">
        <v>567</v>
      </c>
    </row>
    <row r="268" spans="2:3" x14ac:dyDescent="0.25">
      <c r="B268" s="38">
        <v>45982</v>
      </c>
      <c r="C268" t="s">
        <v>569</v>
      </c>
    </row>
    <row r="269" spans="2:3" x14ac:dyDescent="0.25">
      <c r="B269" s="38">
        <v>45982</v>
      </c>
      <c r="C269" t="s">
        <v>571</v>
      </c>
    </row>
    <row r="270" spans="2:3" x14ac:dyDescent="0.25">
      <c r="B270" s="38">
        <v>45982</v>
      </c>
      <c r="C270" t="s">
        <v>573</v>
      </c>
    </row>
    <row r="271" spans="2:3" x14ac:dyDescent="0.25">
      <c r="B271" s="38">
        <v>45983</v>
      </c>
      <c r="C271" t="s">
        <v>574</v>
      </c>
    </row>
    <row r="272" spans="2:3" x14ac:dyDescent="0.25">
      <c r="B272" s="38">
        <v>45983</v>
      </c>
      <c r="C272" t="s">
        <v>575</v>
      </c>
    </row>
    <row r="273" spans="2:3" x14ac:dyDescent="0.25">
      <c r="B273" s="38">
        <v>45985</v>
      </c>
      <c r="C273" t="s">
        <v>577</v>
      </c>
    </row>
    <row r="274" spans="2:3" x14ac:dyDescent="0.25">
      <c r="B274" s="38">
        <v>45985</v>
      </c>
      <c r="C274" t="s">
        <v>579</v>
      </c>
    </row>
    <row r="275" spans="2:3" x14ac:dyDescent="0.25">
      <c r="B275" s="38">
        <v>45985</v>
      </c>
      <c r="C275" t="s">
        <v>580</v>
      </c>
    </row>
    <row r="276" spans="2:3" x14ac:dyDescent="0.25">
      <c r="B276" s="38">
        <v>45985</v>
      </c>
      <c r="C276" t="s">
        <v>582</v>
      </c>
    </row>
    <row r="277" spans="2:3" x14ac:dyDescent="0.25">
      <c r="B277" s="38">
        <v>45985</v>
      </c>
      <c r="C277" t="s">
        <v>583</v>
      </c>
    </row>
    <row r="278" spans="2:3" x14ac:dyDescent="0.25">
      <c r="B278" s="38">
        <v>45985</v>
      </c>
      <c r="C278" t="s">
        <v>585</v>
      </c>
    </row>
    <row r="279" spans="2:3" x14ac:dyDescent="0.25">
      <c r="B279" s="38">
        <v>45985</v>
      </c>
      <c r="C279" t="s">
        <v>586</v>
      </c>
    </row>
    <row r="280" spans="2:3" x14ac:dyDescent="0.25">
      <c r="B280" s="38">
        <v>45985</v>
      </c>
      <c r="C280" t="s">
        <v>588</v>
      </c>
    </row>
    <row r="281" spans="2:3" x14ac:dyDescent="0.25">
      <c r="B281" s="38">
        <v>45985</v>
      </c>
      <c r="C281" t="s">
        <v>590</v>
      </c>
    </row>
    <row r="282" spans="2:3" x14ac:dyDescent="0.25">
      <c r="B282" s="38">
        <v>45985</v>
      </c>
      <c r="C282" t="s">
        <v>592</v>
      </c>
    </row>
    <row r="283" spans="2:3" x14ac:dyDescent="0.25">
      <c r="B283" s="38">
        <v>45987</v>
      </c>
      <c r="C283" t="s">
        <v>593</v>
      </c>
    </row>
    <row r="284" spans="2:3" x14ac:dyDescent="0.25">
      <c r="B284" s="38">
        <v>45987</v>
      </c>
      <c r="C284" t="s">
        <v>596</v>
      </c>
    </row>
    <row r="285" spans="2:3" x14ac:dyDescent="0.25">
      <c r="B285" s="38">
        <v>46000</v>
      </c>
      <c r="C285" t="s">
        <v>599</v>
      </c>
    </row>
    <row r="286" spans="2:3" x14ac:dyDescent="0.25">
      <c r="B286" s="38">
        <v>46001</v>
      </c>
      <c r="C286" t="s">
        <v>600</v>
      </c>
    </row>
    <row r="287" spans="2:3" x14ac:dyDescent="0.25">
      <c r="B287" s="38">
        <v>46001</v>
      </c>
      <c r="C287" t="s">
        <v>602</v>
      </c>
    </row>
    <row r="288" spans="2:3" x14ac:dyDescent="0.25">
      <c r="B288" s="38">
        <v>46001</v>
      </c>
      <c r="C288" t="s">
        <v>603</v>
      </c>
    </row>
    <row r="289" spans="2:3" x14ac:dyDescent="0.25">
      <c r="B289" s="38">
        <v>46002</v>
      </c>
      <c r="C289" t="s">
        <v>604</v>
      </c>
    </row>
    <row r="290" spans="2:3" x14ac:dyDescent="0.25">
      <c r="B290" s="38">
        <v>46003</v>
      </c>
      <c r="C290" t="s">
        <v>606</v>
      </c>
    </row>
    <row r="291" spans="2:3" x14ac:dyDescent="0.25">
      <c r="B291" s="38">
        <v>46003</v>
      </c>
      <c r="C291" t="s">
        <v>607</v>
      </c>
    </row>
    <row r="292" spans="2:3" x14ac:dyDescent="0.25">
      <c r="B292" s="38">
        <v>46003</v>
      </c>
      <c r="C292" t="s">
        <v>608</v>
      </c>
    </row>
    <row r="293" spans="2:3" x14ac:dyDescent="0.25">
      <c r="B293" s="38">
        <v>46003</v>
      </c>
      <c r="C293" t="s">
        <v>610</v>
      </c>
    </row>
    <row r="294" spans="2:3" x14ac:dyDescent="0.25">
      <c r="B294" s="38">
        <v>46003</v>
      </c>
      <c r="C294" t="s">
        <v>611</v>
      </c>
    </row>
    <row r="295" spans="2:3" x14ac:dyDescent="0.25">
      <c r="B295" s="38">
        <v>46003</v>
      </c>
      <c r="C295" t="s">
        <v>612</v>
      </c>
    </row>
    <row r="296" spans="2:3" x14ac:dyDescent="0.25">
      <c r="B296" s="38">
        <v>46003</v>
      </c>
      <c r="C296" t="s">
        <v>613</v>
      </c>
    </row>
    <row r="297" spans="2:3" x14ac:dyDescent="0.25">
      <c r="B297" s="38">
        <v>46004</v>
      </c>
      <c r="C297" t="s">
        <v>614</v>
      </c>
    </row>
    <row r="298" spans="2:3" x14ac:dyDescent="0.25">
      <c r="B298" s="38">
        <v>46006</v>
      </c>
      <c r="C298" t="s">
        <v>615</v>
      </c>
    </row>
    <row r="299" spans="2:3" x14ac:dyDescent="0.25">
      <c r="B299" s="38">
        <v>46006</v>
      </c>
      <c r="C299" t="s">
        <v>616</v>
      </c>
    </row>
    <row r="300" spans="2:3" x14ac:dyDescent="0.25">
      <c r="B300" s="38">
        <v>46006</v>
      </c>
      <c r="C300" t="s">
        <v>617</v>
      </c>
    </row>
    <row r="301" spans="2:3" x14ac:dyDescent="0.25">
      <c r="B301" s="38">
        <v>46006</v>
      </c>
      <c r="C301" t="s">
        <v>619</v>
      </c>
    </row>
    <row r="302" spans="2:3" x14ac:dyDescent="0.25">
      <c r="B302" s="38">
        <v>46006</v>
      </c>
      <c r="C302" t="s">
        <v>620</v>
      </c>
    </row>
    <row r="303" spans="2:3" x14ac:dyDescent="0.25">
      <c r="B303" s="38">
        <v>46006</v>
      </c>
      <c r="C303" t="s">
        <v>621</v>
      </c>
    </row>
    <row r="304" spans="2:3" x14ac:dyDescent="0.25">
      <c r="B304" s="38">
        <v>46006</v>
      </c>
      <c r="C304" t="s">
        <v>623</v>
      </c>
    </row>
    <row r="305" spans="2:3" x14ac:dyDescent="0.25">
      <c r="B305" s="38">
        <v>46006</v>
      </c>
      <c r="C305" t="s">
        <v>624</v>
      </c>
    </row>
    <row r="306" spans="2:3" x14ac:dyDescent="0.25">
      <c r="B306" s="38">
        <v>46006</v>
      </c>
      <c r="C306" t="s">
        <v>625</v>
      </c>
    </row>
    <row r="307" spans="2:3" x14ac:dyDescent="0.25">
      <c r="B307" s="38">
        <v>46006</v>
      </c>
      <c r="C307" t="s">
        <v>627</v>
      </c>
    </row>
    <row r="308" spans="2:3" x14ac:dyDescent="0.25">
      <c r="B308" s="38">
        <v>46006</v>
      </c>
      <c r="C308" t="s">
        <v>629</v>
      </c>
    </row>
    <row r="309" spans="2:3" x14ac:dyDescent="0.25">
      <c r="B309" s="38">
        <v>46006</v>
      </c>
      <c r="C309" t="s">
        <v>632</v>
      </c>
    </row>
    <row r="310" spans="2:3" x14ac:dyDescent="0.25">
      <c r="B310" s="38">
        <v>46007</v>
      </c>
      <c r="C310" t="s">
        <v>633</v>
      </c>
    </row>
    <row r="311" spans="2:3" x14ac:dyDescent="0.25">
      <c r="B311" s="38">
        <v>46011</v>
      </c>
      <c r="C311" t="s">
        <v>636</v>
      </c>
    </row>
    <row r="312" spans="2:3" x14ac:dyDescent="0.25">
      <c r="B312" s="38">
        <v>46011</v>
      </c>
      <c r="C312" t="s">
        <v>637</v>
      </c>
    </row>
    <row r="313" spans="2:3" x14ac:dyDescent="0.25">
      <c r="B313" s="38">
        <v>46011</v>
      </c>
      <c r="C313" t="s">
        <v>639</v>
      </c>
    </row>
    <row r="314" spans="2:3" x14ac:dyDescent="0.25">
      <c r="B314" s="38">
        <v>46011</v>
      </c>
      <c r="C314" t="s">
        <v>640</v>
      </c>
    </row>
    <row r="315" spans="2:3" x14ac:dyDescent="0.25">
      <c r="B315" s="38">
        <v>46011</v>
      </c>
      <c r="C315" t="s">
        <v>642</v>
      </c>
    </row>
    <row r="316" spans="2:3" x14ac:dyDescent="0.25">
      <c r="B316" s="38">
        <v>46011</v>
      </c>
      <c r="C316" t="s">
        <v>641</v>
      </c>
    </row>
    <row r="317" spans="2:3" x14ac:dyDescent="0.25">
      <c r="B317" s="38">
        <v>46017</v>
      </c>
      <c r="C317" t="s">
        <v>645</v>
      </c>
    </row>
    <row r="318" spans="2:3" x14ac:dyDescent="0.25">
      <c r="B318" s="38">
        <v>46017</v>
      </c>
      <c r="C318" t="s">
        <v>646</v>
      </c>
    </row>
    <row r="319" spans="2:3" x14ac:dyDescent="0.25">
      <c r="B319" s="38">
        <v>46017</v>
      </c>
      <c r="C319" t="s">
        <v>647</v>
      </c>
    </row>
    <row r="320" spans="2:3" x14ac:dyDescent="0.25">
      <c r="B320" s="38">
        <v>46017</v>
      </c>
      <c r="C320" t="s">
        <v>648</v>
      </c>
    </row>
    <row r="321" spans="2:3" x14ac:dyDescent="0.25">
      <c r="B321" s="38">
        <v>46017</v>
      </c>
      <c r="C321" t="s">
        <v>650</v>
      </c>
    </row>
    <row r="322" spans="2:3" x14ac:dyDescent="0.25">
      <c r="B322" s="38">
        <v>46022</v>
      </c>
      <c r="C322" t="s">
        <v>652</v>
      </c>
    </row>
    <row r="323" spans="2:3" x14ac:dyDescent="0.25">
      <c r="B323" s="38">
        <v>46034</v>
      </c>
      <c r="C323" t="s">
        <v>654</v>
      </c>
    </row>
    <row r="324" spans="2:3" x14ac:dyDescent="0.25">
      <c r="B324" s="38">
        <v>46070</v>
      </c>
      <c r="C324" t="s">
        <v>675</v>
      </c>
    </row>
    <row r="325" spans="2:3" x14ac:dyDescent="0.25">
      <c r="B325" s="38">
        <v>46071</v>
      </c>
      <c r="C325" t="s">
        <v>677</v>
      </c>
    </row>
    <row r="326" spans="2:3" x14ac:dyDescent="0.25">
      <c r="B326" s="38">
        <v>46071</v>
      </c>
      <c r="C326" t="s">
        <v>678</v>
      </c>
    </row>
    <row r="327" spans="2:3" x14ac:dyDescent="0.25">
      <c r="B327" s="38">
        <v>46071</v>
      </c>
      <c r="C327" t="s">
        <v>679</v>
      </c>
    </row>
    <row r="328" spans="2:3" x14ac:dyDescent="0.25">
      <c r="B328" s="38">
        <v>46072</v>
      </c>
      <c r="C328" t="s">
        <v>681</v>
      </c>
    </row>
    <row r="329" spans="2:3" x14ac:dyDescent="0.25">
      <c r="B329" s="38">
        <v>46072</v>
      </c>
      <c r="C329" t="s">
        <v>682</v>
      </c>
    </row>
    <row r="330" spans="2:3" x14ac:dyDescent="0.25">
      <c r="B330" s="38">
        <v>46116</v>
      </c>
      <c r="C330" t="s">
        <v>686</v>
      </c>
    </row>
    <row r="331" spans="2:3" x14ac:dyDescent="0.25">
      <c r="B331" s="38">
        <v>46116</v>
      </c>
      <c r="C331" t="s">
        <v>688</v>
      </c>
    </row>
    <row r="332" spans="2:3" x14ac:dyDescent="0.25">
      <c r="B332" s="38">
        <v>46116</v>
      </c>
      <c r="C332" t="s">
        <v>689</v>
      </c>
    </row>
    <row r="333" spans="2:3" x14ac:dyDescent="0.25">
      <c r="B333" s="38">
        <v>46119</v>
      </c>
      <c r="C333" t="s">
        <v>691</v>
      </c>
    </row>
    <row r="334" spans="2:3" x14ac:dyDescent="0.25">
      <c r="B334" s="38">
        <v>46119</v>
      </c>
      <c r="C334" t="s">
        <v>692</v>
      </c>
    </row>
    <row r="335" spans="2:3" x14ac:dyDescent="0.25">
      <c r="B335" s="38"/>
    </row>
    <row r="336" spans="2:3" x14ac:dyDescent="0.25">
      <c r="B336" s="38"/>
    </row>
    <row r="337" spans="2:5" x14ac:dyDescent="0.25">
      <c r="B337" s="38"/>
    </row>
    <row r="338" spans="2:5" x14ac:dyDescent="0.25">
      <c r="B338" s="38"/>
    </row>
    <row r="339" spans="2:5" x14ac:dyDescent="0.25">
      <c r="B339" s="38"/>
    </row>
    <row r="340" spans="2:5" x14ac:dyDescent="0.25">
      <c r="B340" s="38"/>
    </row>
    <row r="341" spans="2:5" x14ac:dyDescent="0.25">
      <c r="B341" s="38"/>
    </row>
    <row r="342" spans="2:5" x14ac:dyDescent="0.25">
      <c r="B342" s="38"/>
    </row>
    <row r="343" spans="2:5" x14ac:dyDescent="0.25">
      <c r="B343" s="38"/>
    </row>
    <row r="344" spans="2:5" x14ac:dyDescent="0.25">
      <c r="B344" s="38"/>
    </row>
    <row r="345" spans="2:5" x14ac:dyDescent="0.25">
      <c r="B345" s="38"/>
    </row>
    <row r="346" spans="2:5" x14ac:dyDescent="0.25">
      <c r="B346" s="38"/>
    </row>
    <row r="347" spans="2:5" x14ac:dyDescent="0.25">
      <c r="B347" s="38"/>
    </row>
    <row r="348" spans="2:5" x14ac:dyDescent="0.25">
      <c r="B348" s="38"/>
    </row>
    <row r="349" spans="2:5" x14ac:dyDescent="0.25">
      <c r="B349" s="38"/>
    </row>
    <row r="350" spans="2:5" x14ac:dyDescent="0.25">
      <c r="B350" s="38"/>
    </row>
    <row r="351" spans="2:5" x14ac:dyDescent="0.25">
      <c r="B351" s="38"/>
    </row>
    <row r="352" spans="2:5" x14ac:dyDescent="0.25">
      <c r="B352" s="38">
        <v>45870</v>
      </c>
      <c r="C352" s="37" t="s">
        <v>291</v>
      </c>
      <c r="E352">
        <v>1</v>
      </c>
    </row>
    <row r="353" spans="2:6" x14ac:dyDescent="0.25">
      <c r="B353" s="38">
        <v>45870</v>
      </c>
      <c r="C353" s="37" t="s">
        <v>250</v>
      </c>
      <c r="E353">
        <v>8</v>
      </c>
    </row>
    <row r="354" spans="2:6" x14ac:dyDescent="0.25">
      <c r="B354" s="38">
        <v>45870</v>
      </c>
      <c r="C354" s="37" t="s">
        <v>232</v>
      </c>
      <c r="E354">
        <v>1</v>
      </c>
    </row>
    <row r="355" spans="2:6" x14ac:dyDescent="0.25">
      <c r="B355" s="38">
        <v>45870</v>
      </c>
      <c r="C355" s="37" t="s">
        <v>206</v>
      </c>
      <c r="E355">
        <v>5</v>
      </c>
    </row>
    <row r="356" spans="2:6" x14ac:dyDescent="0.25">
      <c r="B356" s="38">
        <v>45870</v>
      </c>
      <c r="C356" s="37" t="s">
        <v>281</v>
      </c>
      <c r="E356">
        <v>1</v>
      </c>
      <c r="F356" s="37"/>
    </row>
    <row r="357" spans="2:6" x14ac:dyDescent="0.25">
      <c r="B357" s="38">
        <v>45870</v>
      </c>
      <c r="C357" s="37" t="s">
        <v>172</v>
      </c>
      <c r="E357">
        <v>2</v>
      </c>
      <c r="F357" s="37"/>
    </row>
    <row r="358" spans="2:6" x14ac:dyDescent="0.25">
      <c r="B358" s="38">
        <v>45870</v>
      </c>
      <c r="C358" s="37" t="s">
        <v>175</v>
      </c>
      <c r="E358">
        <v>1</v>
      </c>
      <c r="F358" s="37"/>
    </row>
    <row r="359" spans="2:6" x14ac:dyDescent="0.25">
      <c r="B359" s="38">
        <v>45870</v>
      </c>
      <c r="C359" s="37" t="s">
        <v>256</v>
      </c>
      <c r="E359">
        <v>2</v>
      </c>
      <c r="F359" s="37"/>
    </row>
    <row r="360" spans="2:6" x14ac:dyDescent="0.25">
      <c r="B360" s="38">
        <v>45870</v>
      </c>
      <c r="C360" s="37" t="s">
        <v>280</v>
      </c>
      <c r="E360">
        <v>1</v>
      </c>
      <c r="F360" s="37"/>
    </row>
    <row r="361" spans="2:6" x14ac:dyDescent="0.25">
      <c r="B361" s="38">
        <v>45870</v>
      </c>
      <c r="C361" s="37" t="s">
        <v>233</v>
      </c>
      <c r="E361">
        <v>2</v>
      </c>
      <c r="F361" s="37"/>
    </row>
    <row r="362" spans="2:6" x14ac:dyDescent="0.25">
      <c r="B362" s="38">
        <v>45870</v>
      </c>
      <c r="C362" s="37" t="s">
        <v>231</v>
      </c>
      <c r="E362">
        <v>2</v>
      </c>
      <c r="F362" s="37"/>
    </row>
    <row r="363" spans="2:6" x14ac:dyDescent="0.25">
      <c r="B363" s="38">
        <v>45870</v>
      </c>
      <c r="C363" s="37" t="s">
        <v>257</v>
      </c>
      <c r="E363">
        <v>2</v>
      </c>
      <c r="F363" s="37"/>
    </row>
    <row r="364" spans="2:6" x14ac:dyDescent="0.25">
      <c r="B364" s="38">
        <v>45870</v>
      </c>
      <c r="C364" s="37" t="s">
        <v>285</v>
      </c>
      <c r="E364">
        <v>15</v>
      </c>
      <c r="F364" s="37"/>
    </row>
    <row r="365" spans="2:6" x14ac:dyDescent="0.25">
      <c r="B365" s="38">
        <v>45870</v>
      </c>
      <c r="C365" s="37" t="s">
        <v>234</v>
      </c>
      <c r="E365">
        <v>2</v>
      </c>
      <c r="F365" s="37"/>
    </row>
    <row r="366" spans="2:6" x14ac:dyDescent="0.25">
      <c r="B366" s="38">
        <v>45870</v>
      </c>
      <c r="C366" s="37" t="s">
        <v>235</v>
      </c>
      <c r="E366">
        <v>2</v>
      </c>
      <c r="F366" s="37"/>
    </row>
    <row r="367" spans="2:6" x14ac:dyDescent="0.25">
      <c r="B367" s="38">
        <v>45870</v>
      </c>
      <c r="C367" s="37" t="s">
        <v>283</v>
      </c>
      <c r="E367">
        <v>1</v>
      </c>
      <c r="F367" s="37"/>
    </row>
    <row r="368" spans="2:6" x14ac:dyDescent="0.25">
      <c r="B368" s="38">
        <v>45870</v>
      </c>
      <c r="C368" s="37" t="s">
        <v>251</v>
      </c>
      <c r="E368">
        <v>10</v>
      </c>
      <c r="F368" s="37"/>
    </row>
    <row r="369" spans="2:6" x14ac:dyDescent="0.25">
      <c r="B369" s="38">
        <v>45870</v>
      </c>
      <c r="C369" s="37" t="s">
        <v>395</v>
      </c>
      <c r="E369">
        <v>2</v>
      </c>
      <c r="F369" s="37"/>
    </row>
    <row r="370" spans="2:6" x14ac:dyDescent="0.25">
      <c r="B370" s="38">
        <v>45870</v>
      </c>
      <c r="C370" s="37" t="s">
        <v>397</v>
      </c>
      <c r="E370">
        <v>4</v>
      </c>
      <c r="F370" s="37"/>
    </row>
    <row r="371" spans="2:6" x14ac:dyDescent="0.25">
      <c r="B371" s="38">
        <v>45873</v>
      </c>
      <c r="C371" s="37" t="s">
        <v>176</v>
      </c>
      <c r="E371">
        <v>1</v>
      </c>
      <c r="F371" s="37"/>
    </row>
    <row r="372" spans="2:6" x14ac:dyDescent="0.25">
      <c r="B372" s="38">
        <v>45874</v>
      </c>
      <c r="C372" s="37" t="s">
        <v>251</v>
      </c>
      <c r="E372">
        <v>11</v>
      </c>
      <c r="F372" s="37"/>
    </row>
    <row r="373" spans="2:6" x14ac:dyDescent="0.25">
      <c r="B373" s="38">
        <v>45874</v>
      </c>
      <c r="C373" s="37" t="s">
        <v>204</v>
      </c>
      <c r="E373">
        <v>1</v>
      </c>
      <c r="F373" s="37"/>
    </row>
    <row r="374" spans="2:6" x14ac:dyDescent="0.25">
      <c r="B374" s="38">
        <v>45874</v>
      </c>
      <c r="C374" s="37" t="s">
        <v>155</v>
      </c>
      <c r="E374">
        <v>10</v>
      </c>
      <c r="F374" s="37"/>
    </row>
    <row r="375" spans="2:6" x14ac:dyDescent="0.25">
      <c r="B375" s="38">
        <v>45874</v>
      </c>
      <c r="C375" s="37" t="s">
        <v>154</v>
      </c>
      <c r="E375">
        <v>1</v>
      </c>
      <c r="F375" s="37"/>
    </row>
    <row r="376" spans="2:6" x14ac:dyDescent="0.25">
      <c r="B376" s="38">
        <v>45874</v>
      </c>
      <c r="C376" s="37" t="s">
        <v>214</v>
      </c>
      <c r="E376">
        <v>1</v>
      </c>
      <c r="F376" s="37"/>
    </row>
    <row r="377" spans="2:6" x14ac:dyDescent="0.25">
      <c r="B377" s="38">
        <v>45874</v>
      </c>
      <c r="C377" s="37" t="s">
        <v>228</v>
      </c>
      <c r="E377">
        <v>1</v>
      </c>
      <c r="F377" s="37"/>
    </row>
    <row r="378" spans="2:6" x14ac:dyDescent="0.25">
      <c r="B378" s="38">
        <v>45874</v>
      </c>
      <c r="C378" s="37" t="s">
        <v>272</v>
      </c>
      <c r="E378">
        <v>1</v>
      </c>
      <c r="F378" s="37"/>
    </row>
    <row r="379" spans="2:6" x14ac:dyDescent="0.25">
      <c r="B379" s="38">
        <v>45874</v>
      </c>
      <c r="C379" s="37" t="s">
        <v>127</v>
      </c>
      <c r="E379">
        <v>1</v>
      </c>
      <c r="F379" s="37"/>
    </row>
    <row r="380" spans="2:6" x14ac:dyDescent="0.25">
      <c r="B380" s="38">
        <v>45875</v>
      </c>
      <c r="C380" s="37" t="s">
        <v>167</v>
      </c>
      <c r="E380">
        <v>2</v>
      </c>
      <c r="F380" s="37"/>
    </row>
    <row r="381" spans="2:6" x14ac:dyDescent="0.25">
      <c r="B381" s="38">
        <v>45875</v>
      </c>
      <c r="C381" s="37" t="s">
        <v>317</v>
      </c>
      <c r="E381">
        <v>2</v>
      </c>
      <c r="F381" s="37"/>
    </row>
    <row r="382" spans="2:6" x14ac:dyDescent="0.25">
      <c r="B382" s="38">
        <v>45875</v>
      </c>
      <c r="C382" s="37" t="s">
        <v>201</v>
      </c>
      <c r="E382">
        <v>1</v>
      </c>
      <c r="F382" s="37"/>
    </row>
    <row r="383" spans="2:6" x14ac:dyDescent="0.25">
      <c r="B383" s="38">
        <v>45875</v>
      </c>
      <c r="C383" s="37" t="s">
        <v>238</v>
      </c>
      <c r="E383">
        <v>1</v>
      </c>
      <c r="F383" s="37"/>
    </row>
    <row r="384" spans="2:6" x14ac:dyDescent="0.25">
      <c r="B384" s="38">
        <v>45875</v>
      </c>
      <c r="C384" s="37" t="s">
        <v>178</v>
      </c>
      <c r="D384">
        <v>2</v>
      </c>
      <c r="F384" s="37" t="s">
        <v>407</v>
      </c>
    </row>
    <row r="385" spans="2:6" x14ac:dyDescent="0.25">
      <c r="B385" s="38">
        <v>45875</v>
      </c>
      <c r="C385" s="37" t="s">
        <v>148</v>
      </c>
      <c r="E385">
        <v>3</v>
      </c>
      <c r="F385" s="37" t="s">
        <v>408</v>
      </c>
    </row>
    <row r="386" spans="2:6" x14ac:dyDescent="0.25">
      <c r="B386" s="38">
        <v>45876</v>
      </c>
      <c r="C386" s="37" t="s">
        <v>276</v>
      </c>
      <c r="E386">
        <v>5</v>
      </c>
      <c r="F386" s="37"/>
    </row>
    <row r="387" spans="2:6" x14ac:dyDescent="0.25">
      <c r="B387" s="38">
        <v>45876</v>
      </c>
      <c r="C387" s="37" t="s">
        <v>289</v>
      </c>
      <c r="E387">
        <v>2</v>
      </c>
      <c r="F387" s="37"/>
    </row>
    <row r="388" spans="2:6" x14ac:dyDescent="0.25">
      <c r="B388" s="38">
        <v>45876</v>
      </c>
      <c r="C388" s="37" t="s">
        <v>228</v>
      </c>
      <c r="E388">
        <v>1</v>
      </c>
      <c r="F388" s="37"/>
    </row>
    <row r="389" spans="2:6" x14ac:dyDescent="0.25">
      <c r="B389" s="38">
        <v>45876</v>
      </c>
      <c r="C389" s="37" t="s">
        <v>214</v>
      </c>
      <c r="E389">
        <v>2</v>
      </c>
      <c r="F389" s="37"/>
    </row>
    <row r="390" spans="2:6" x14ac:dyDescent="0.25">
      <c r="B390" s="38">
        <v>45876</v>
      </c>
      <c r="C390" s="37" t="s">
        <v>409</v>
      </c>
      <c r="E390">
        <v>2</v>
      </c>
      <c r="F390" s="37"/>
    </row>
    <row r="391" spans="2:6" x14ac:dyDescent="0.25">
      <c r="B391" s="38">
        <v>45876</v>
      </c>
      <c r="C391" s="37" t="s">
        <v>144</v>
      </c>
      <c r="E391">
        <v>6</v>
      </c>
      <c r="F391" s="37"/>
    </row>
    <row r="392" spans="2:6" x14ac:dyDescent="0.25">
      <c r="B392" s="38">
        <v>45876</v>
      </c>
      <c r="C392" s="37" t="s">
        <v>250</v>
      </c>
      <c r="E392">
        <v>1</v>
      </c>
      <c r="F392" s="37"/>
    </row>
    <row r="393" spans="2:6" x14ac:dyDescent="0.25">
      <c r="B393" s="38">
        <v>45876</v>
      </c>
      <c r="C393" s="37" t="s">
        <v>172</v>
      </c>
      <c r="E393">
        <v>3</v>
      </c>
      <c r="F393" s="37"/>
    </row>
    <row r="394" spans="2:6" x14ac:dyDescent="0.25">
      <c r="B394" s="38">
        <v>45876</v>
      </c>
      <c r="C394" s="37" t="s">
        <v>251</v>
      </c>
      <c r="E394">
        <v>7</v>
      </c>
      <c r="F394" s="37"/>
    </row>
    <row r="395" spans="2:6" x14ac:dyDescent="0.25">
      <c r="B395" s="38">
        <v>45877</v>
      </c>
      <c r="C395" s="37" t="s">
        <v>263</v>
      </c>
      <c r="E395">
        <v>3</v>
      </c>
      <c r="F395" s="37"/>
    </row>
    <row r="396" spans="2:6" x14ac:dyDescent="0.25">
      <c r="B396" s="38">
        <v>45878</v>
      </c>
      <c r="C396" s="37" t="s">
        <v>419</v>
      </c>
      <c r="E396">
        <v>7</v>
      </c>
      <c r="F396" s="37"/>
    </row>
    <row r="397" spans="2:6" x14ac:dyDescent="0.25">
      <c r="B397" s="38">
        <v>45878</v>
      </c>
      <c r="C397" s="37" t="s">
        <v>147</v>
      </c>
      <c r="E397">
        <v>4</v>
      </c>
      <c r="F397" s="37"/>
    </row>
    <row r="398" spans="2:6" x14ac:dyDescent="0.25">
      <c r="B398" s="38">
        <v>45878</v>
      </c>
      <c r="C398" s="37" t="s">
        <v>146</v>
      </c>
      <c r="E398">
        <v>6</v>
      </c>
      <c r="F398" s="37"/>
    </row>
    <row r="399" spans="2:6" x14ac:dyDescent="0.25">
      <c r="B399" s="38">
        <v>45878</v>
      </c>
      <c r="C399" s="37" t="s">
        <v>153</v>
      </c>
      <c r="E399">
        <v>5</v>
      </c>
      <c r="F399" s="37"/>
    </row>
    <row r="400" spans="2:6" x14ac:dyDescent="0.25">
      <c r="B400" s="38">
        <v>45878</v>
      </c>
      <c r="C400" s="37" t="s">
        <v>138</v>
      </c>
      <c r="E400">
        <v>4</v>
      </c>
      <c r="F400" s="37"/>
    </row>
    <row r="401" spans="2:6" x14ac:dyDescent="0.25">
      <c r="B401" s="38">
        <v>45878</v>
      </c>
      <c r="C401" s="37" t="s">
        <v>280</v>
      </c>
      <c r="E401">
        <v>1</v>
      </c>
      <c r="F401" s="37"/>
    </row>
    <row r="402" spans="2:6" x14ac:dyDescent="0.25">
      <c r="B402" s="38">
        <v>45878</v>
      </c>
      <c r="C402" s="37" t="s">
        <v>231</v>
      </c>
      <c r="E402">
        <v>5</v>
      </c>
      <c r="F402" s="37"/>
    </row>
    <row r="403" spans="2:6" x14ac:dyDescent="0.25">
      <c r="B403" s="38">
        <v>45878</v>
      </c>
      <c r="C403" s="37" t="s">
        <v>528</v>
      </c>
      <c r="E403">
        <v>4</v>
      </c>
      <c r="F403" s="37"/>
    </row>
    <row r="404" spans="2:6" x14ac:dyDescent="0.25">
      <c r="B404" s="38">
        <v>45878</v>
      </c>
      <c r="C404" s="37" t="s">
        <v>171</v>
      </c>
      <c r="E404">
        <v>2</v>
      </c>
      <c r="F404" s="37"/>
    </row>
    <row r="405" spans="2:6" x14ac:dyDescent="0.25">
      <c r="B405" s="38">
        <v>45878</v>
      </c>
      <c r="C405" s="37" t="s">
        <v>411</v>
      </c>
      <c r="E405">
        <v>4</v>
      </c>
      <c r="F405" s="37"/>
    </row>
    <row r="406" spans="2:6" x14ac:dyDescent="0.25">
      <c r="B406" s="38">
        <v>45878</v>
      </c>
      <c r="C406" s="37" t="s">
        <v>250</v>
      </c>
      <c r="D406">
        <v>50</v>
      </c>
      <c r="F406" s="37" t="s">
        <v>413</v>
      </c>
    </row>
    <row r="407" spans="2:6" x14ac:dyDescent="0.25">
      <c r="B407" s="38">
        <v>45878</v>
      </c>
      <c r="C407" s="37" t="s">
        <v>417</v>
      </c>
      <c r="D407">
        <v>3</v>
      </c>
      <c r="F407" s="37" t="s">
        <v>413</v>
      </c>
    </row>
    <row r="408" spans="2:6" x14ac:dyDescent="0.25">
      <c r="B408" s="38">
        <v>45878</v>
      </c>
      <c r="C408" s="37" t="s">
        <v>414</v>
      </c>
      <c r="D408">
        <v>20</v>
      </c>
      <c r="F408" s="37" t="s">
        <v>413</v>
      </c>
    </row>
    <row r="409" spans="2:6" x14ac:dyDescent="0.25">
      <c r="B409" s="38">
        <v>45878</v>
      </c>
      <c r="C409" s="37" t="s">
        <v>415</v>
      </c>
      <c r="D409">
        <v>10</v>
      </c>
      <c r="F409" s="37" t="s">
        <v>413</v>
      </c>
    </row>
    <row r="410" spans="2:6" x14ac:dyDescent="0.25">
      <c r="B410" s="38">
        <v>45878</v>
      </c>
      <c r="C410" s="37" t="s">
        <v>416</v>
      </c>
      <c r="D410">
        <v>5</v>
      </c>
      <c r="F410" s="37" t="s">
        <v>413</v>
      </c>
    </row>
    <row r="411" spans="2:6" x14ac:dyDescent="0.25">
      <c r="B411" s="38">
        <v>45880</v>
      </c>
      <c r="C411" s="37" t="s">
        <v>414</v>
      </c>
      <c r="E411">
        <v>4</v>
      </c>
      <c r="F411" s="37"/>
    </row>
    <row r="412" spans="2:6" x14ac:dyDescent="0.25">
      <c r="B412" s="38">
        <v>45880</v>
      </c>
      <c r="C412" s="37" t="s">
        <v>416</v>
      </c>
      <c r="E412">
        <v>1</v>
      </c>
      <c r="F412" s="37"/>
    </row>
    <row r="413" spans="2:6" x14ac:dyDescent="0.25">
      <c r="B413" s="38">
        <v>45880</v>
      </c>
      <c r="C413" s="37" t="s">
        <v>420</v>
      </c>
      <c r="D413">
        <v>20</v>
      </c>
      <c r="F413" s="37" t="s">
        <v>463</v>
      </c>
    </row>
    <row r="414" spans="2:6" x14ac:dyDescent="0.25">
      <c r="B414" s="38">
        <v>45880</v>
      </c>
      <c r="C414" s="37" t="s">
        <v>423</v>
      </c>
      <c r="D414">
        <v>20</v>
      </c>
      <c r="F414" s="37" t="s">
        <v>463</v>
      </c>
    </row>
    <row r="415" spans="2:6" x14ac:dyDescent="0.25">
      <c r="B415" s="38">
        <v>45880</v>
      </c>
      <c r="C415" s="37" t="s">
        <v>421</v>
      </c>
      <c r="D415">
        <v>20</v>
      </c>
      <c r="F415" s="37" t="s">
        <v>463</v>
      </c>
    </row>
    <row r="416" spans="2:6" x14ac:dyDescent="0.25">
      <c r="B416" s="38">
        <v>45880</v>
      </c>
      <c r="C416" s="37" t="s">
        <v>285</v>
      </c>
      <c r="D416">
        <v>2</v>
      </c>
      <c r="F416" s="37" t="s">
        <v>463</v>
      </c>
    </row>
    <row r="417" spans="2:6" x14ac:dyDescent="0.25">
      <c r="B417" s="38">
        <v>45880</v>
      </c>
      <c r="C417" s="37" t="s">
        <v>427</v>
      </c>
      <c r="D417">
        <v>10</v>
      </c>
      <c r="F417" s="37" t="s">
        <v>463</v>
      </c>
    </row>
    <row r="418" spans="2:6" x14ac:dyDescent="0.25">
      <c r="B418" s="38">
        <v>45880</v>
      </c>
      <c r="C418" s="37" t="s">
        <v>253</v>
      </c>
      <c r="D418">
        <v>10</v>
      </c>
      <c r="F418" s="37" t="s">
        <v>463</v>
      </c>
    </row>
    <row r="419" spans="2:6" x14ac:dyDescent="0.25">
      <c r="B419" s="38">
        <v>45880</v>
      </c>
      <c r="C419" s="37" t="s">
        <v>425</v>
      </c>
      <c r="D419">
        <v>10</v>
      </c>
      <c r="F419" s="37" t="s">
        <v>463</v>
      </c>
    </row>
    <row r="420" spans="2:6" x14ac:dyDescent="0.25">
      <c r="B420" s="38">
        <v>45880</v>
      </c>
      <c r="C420" s="37" t="s">
        <v>373</v>
      </c>
      <c r="D420">
        <v>10</v>
      </c>
      <c r="F420" s="37" t="s">
        <v>463</v>
      </c>
    </row>
    <row r="421" spans="2:6" x14ac:dyDescent="0.25">
      <c r="B421" s="38">
        <v>45880</v>
      </c>
      <c r="C421" s="37" t="s">
        <v>424</v>
      </c>
      <c r="D421">
        <v>2</v>
      </c>
      <c r="F421" s="37" t="s">
        <v>463</v>
      </c>
    </row>
    <row r="422" spans="2:6" x14ac:dyDescent="0.25">
      <c r="B422" s="38">
        <v>45880</v>
      </c>
      <c r="C422" s="37" t="s">
        <v>124</v>
      </c>
      <c r="D422">
        <v>20</v>
      </c>
      <c r="F422" s="37" t="s">
        <v>463</v>
      </c>
    </row>
    <row r="423" spans="2:6" x14ac:dyDescent="0.25">
      <c r="B423" s="38">
        <v>45880</v>
      </c>
      <c r="C423" s="37" t="s">
        <v>420</v>
      </c>
      <c r="E423">
        <v>5</v>
      </c>
      <c r="F423" s="37"/>
    </row>
    <row r="424" spans="2:6" x14ac:dyDescent="0.25">
      <c r="B424" s="38">
        <v>45880</v>
      </c>
      <c r="C424" s="37" t="s">
        <v>421</v>
      </c>
      <c r="E424">
        <v>5</v>
      </c>
      <c r="F424" s="37"/>
    </row>
    <row r="425" spans="2:6" x14ac:dyDescent="0.25">
      <c r="B425" s="38">
        <v>45880</v>
      </c>
      <c r="C425" s="37" t="s">
        <v>415</v>
      </c>
      <c r="E425">
        <v>2</v>
      </c>
      <c r="F425" s="37"/>
    </row>
    <row r="426" spans="2:6" x14ac:dyDescent="0.25">
      <c r="B426" s="38">
        <v>45880</v>
      </c>
      <c r="C426" s="37" t="s">
        <v>425</v>
      </c>
      <c r="E426">
        <v>2</v>
      </c>
      <c r="F426" s="37"/>
    </row>
    <row r="427" spans="2:6" x14ac:dyDescent="0.25">
      <c r="B427" s="38">
        <v>45880</v>
      </c>
      <c r="C427" s="37" t="s">
        <v>423</v>
      </c>
      <c r="E427">
        <v>1</v>
      </c>
      <c r="F427" s="37"/>
    </row>
    <row r="428" spans="2:6" x14ac:dyDescent="0.25">
      <c r="B428" s="38">
        <v>45880</v>
      </c>
      <c r="C428" s="37" t="s">
        <v>424</v>
      </c>
      <c r="E428">
        <v>1</v>
      </c>
      <c r="F428" s="37"/>
    </row>
    <row r="429" spans="2:6" x14ac:dyDescent="0.25">
      <c r="B429" s="38">
        <v>45880</v>
      </c>
      <c r="C429" s="37" t="s">
        <v>230</v>
      </c>
      <c r="E429">
        <v>2</v>
      </c>
      <c r="F429" s="37"/>
    </row>
    <row r="430" spans="2:6" x14ac:dyDescent="0.25">
      <c r="B430" s="38">
        <v>45880</v>
      </c>
      <c r="C430" s="37" t="s">
        <v>258</v>
      </c>
      <c r="E430">
        <v>2</v>
      </c>
      <c r="F430" s="37"/>
    </row>
    <row r="431" spans="2:6" x14ac:dyDescent="0.25">
      <c r="B431" s="38">
        <v>45880</v>
      </c>
      <c r="C431" s="37" t="s">
        <v>263</v>
      </c>
      <c r="E431">
        <v>4</v>
      </c>
      <c r="F431" s="37"/>
    </row>
    <row r="432" spans="2:6" x14ac:dyDescent="0.25">
      <c r="B432" s="38">
        <v>45881</v>
      </c>
      <c r="C432" s="37" t="s">
        <v>395</v>
      </c>
      <c r="D432">
        <v>10</v>
      </c>
      <c r="F432" s="37" t="s">
        <v>463</v>
      </c>
    </row>
    <row r="433" spans="2:6" x14ac:dyDescent="0.25">
      <c r="B433" s="38">
        <v>45881</v>
      </c>
      <c r="C433" s="37" t="s">
        <v>251</v>
      </c>
      <c r="D433">
        <v>50</v>
      </c>
      <c r="F433" s="37" t="s">
        <v>463</v>
      </c>
    </row>
    <row r="434" spans="2:6" x14ac:dyDescent="0.25">
      <c r="B434" s="38">
        <v>45881</v>
      </c>
      <c r="C434" s="37" t="s">
        <v>285</v>
      </c>
      <c r="D434">
        <v>20</v>
      </c>
      <c r="F434" s="37" t="s">
        <v>463</v>
      </c>
    </row>
    <row r="435" spans="2:6" x14ac:dyDescent="0.25">
      <c r="B435" s="38">
        <v>45881</v>
      </c>
      <c r="C435" s="37" t="s">
        <v>395</v>
      </c>
      <c r="E435">
        <v>2</v>
      </c>
      <c r="F435" s="37"/>
    </row>
    <row r="436" spans="2:6" x14ac:dyDescent="0.25">
      <c r="B436" s="38">
        <v>45881</v>
      </c>
      <c r="C436" s="37" t="s">
        <v>251</v>
      </c>
      <c r="E436">
        <v>10</v>
      </c>
      <c r="F436" s="37"/>
    </row>
    <row r="437" spans="2:6" x14ac:dyDescent="0.25">
      <c r="B437" s="38">
        <v>45881</v>
      </c>
      <c r="C437" s="37" t="s">
        <v>276</v>
      </c>
      <c r="E437">
        <v>6</v>
      </c>
      <c r="F437" s="37"/>
    </row>
    <row r="438" spans="2:6" x14ac:dyDescent="0.25">
      <c r="B438" s="38">
        <v>45881</v>
      </c>
      <c r="C438" s="37" t="s">
        <v>424</v>
      </c>
      <c r="E438">
        <v>1</v>
      </c>
      <c r="F438" s="37"/>
    </row>
    <row r="439" spans="2:6" x14ac:dyDescent="0.25">
      <c r="B439" s="38">
        <v>45881</v>
      </c>
      <c r="C439" s="37" t="s">
        <v>414</v>
      </c>
      <c r="E439">
        <v>6</v>
      </c>
      <c r="F439" s="37"/>
    </row>
    <row r="440" spans="2:6" x14ac:dyDescent="0.25">
      <c r="B440" s="38">
        <v>45881</v>
      </c>
      <c r="C440" s="37" t="s">
        <v>250</v>
      </c>
      <c r="E440">
        <v>10</v>
      </c>
      <c r="F440" s="37"/>
    </row>
    <row r="441" spans="2:6" x14ac:dyDescent="0.25">
      <c r="B441" s="38">
        <v>45881</v>
      </c>
      <c r="C441" s="37" t="s">
        <v>292</v>
      </c>
      <c r="E441">
        <v>3</v>
      </c>
      <c r="F441" s="37"/>
    </row>
    <row r="442" spans="2:6" x14ac:dyDescent="0.25">
      <c r="B442" s="38">
        <v>45881</v>
      </c>
      <c r="C442" s="37" t="s">
        <v>259</v>
      </c>
      <c r="E442">
        <v>1</v>
      </c>
      <c r="F442" s="37" t="s">
        <v>431</v>
      </c>
    </row>
    <row r="443" spans="2:6" x14ac:dyDescent="0.25">
      <c r="B443" s="38">
        <v>45881</v>
      </c>
      <c r="C443" s="37" t="s">
        <v>271</v>
      </c>
      <c r="E443">
        <v>5</v>
      </c>
      <c r="F443" s="37" t="s">
        <v>431</v>
      </c>
    </row>
    <row r="444" spans="2:6" x14ac:dyDescent="0.25">
      <c r="B444" s="38">
        <v>45881</v>
      </c>
      <c r="C444" s="37" t="s">
        <v>202</v>
      </c>
      <c r="E444">
        <v>16</v>
      </c>
      <c r="F444" s="37" t="s">
        <v>431</v>
      </c>
    </row>
    <row r="445" spans="2:6" x14ac:dyDescent="0.25">
      <c r="B445" s="38">
        <v>45881</v>
      </c>
      <c r="C445" s="37" t="s">
        <v>203</v>
      </c>
      <c r="E445">
        <v>8</v>
      </c>
      <c r="F445" s="37" t="s">
        <v>431</v>
      </c>
    </row>
    <row r="446" spans="2:6" x14ac:dyDescent="0.25">
      <c r="B446" s="38">
        <v>45881</v>
      </c>
      <c r="C446" s="37" t="s">
        <v>210</v>
      </c>
      <c r="E446">
        <v>48</v>
      </c>
      <c r="F446" s="37" t="s">
        <v>431</v>
      </c>
    </row>
    <row r="447" spans="2:6" x14ac:dyDescent="0.25">
      <c r="B447" s="38">
        <v>45881</v>
      </c>
      <c r="C447" s="37" t="s">
        <v>209</v>
      </c>
      <c r="E447">
        <v>26</v>
      </c>
      <c r="F447" s="37" t="s">
        <v>431</v>
      </c>
    </row>
    <row r="448" spans="2:6" x14ac:dyDescent="0.25">
      <c r="B448" s="38">
        <v>45881</v>
      </c>
      <c r="C448" s="37" t="s">
        <v>429</v>
      </c>
      <c r="E448">
        <v>50</v>
      </c>
      <c r="F448" s="37" t="s">
        <v>431</v>
      </c>
    </row>
    <row r="449" spans="2:6" x14ac:dyDescent="0.25">
      <c r="B449" s="38">
        <v>45881</v>
      </c>
      <c r="C449" s="37" t="s">
        <v>270</v>
      </c>
      <c r="E449">
        <v>50</v>
      </c>
      <c r="F449" s="37" t="s">
        <v>431</v>
      </c>
    </row>
    <row r="450" spans="2:6" x14ac:dyDescent="0.25">
      <c r="B450" s="38">
        <v>45881</v>
      </c>
      <c r="C450" s="37" t="s">
        <v>243</v>
      </c>
      <c r="E450">
        <v>24</v>
      </c>
      <c r="F450" s="37" t="s">
        <v>431</v>
      </c>
    </row>
    <row r="451" spans="2:6" x14ac:dyDescent="0.25">
      <c r="B451" s="38">
        <v>45881</v>
      </c>
      <c r="C451" s="37" t="s">
        <v>252</v>
      </c>
      <c r="E451">
        <v>22</v>
      </c>
      <c r="F451" s="37" t="s">
        <v>431</v>
      </c>
    </row>
    <row r="452" spans="2:6" x14ac:dyDescent="0.25">
      <c r="B452" s="38">
        <v>45881</v>
      </c>
      <c r="C452" s="37" t="s">
        <v>245</v>
      </c>
      <c r="E452">
        <v>8</v>
      </c>
      <c r="F452" s="37" t="s">
        <v>431</v>
      </c>
    </row>
    <row r="453" spans="2:6" x14ac:dyDescent="0.25">
      <c r="B453" s="38">
        <v>45881</v>
      </c>
      <c r="C453" s="37" t="s">
        <v>216</v>
      </c>
      <c r="E453">
        <v>6</v>
      </c>
      <c r="F453" s="37" t="s">
        <v>431</v>
      </c>
    </row>
    <row r="454" spans="2:6" x14ac:dyDescent="0.25">
      <c r="B454" s="38">
        <v>45881</v>
      </c>
      <c r="C454" s="37" t="s">
        <v>278</v>
      </c>
      <c r="E454">
        <v>6</v>
      </c>
      <c r="F454" s="37" t="s">
        <v>431</v>
      </c>
    </row>
    <row r="455" spans="2:6" x14ac:dyDescent="0.25">
      <c r="B455" s="38">
        <v>45881</v>
      </c>
      <c r="C455" s="37" t="s">
        <v>135</v>
      </c>
      <c r="E455">
        <v>30</v>
      </c>
      <c r="F455" s="37" t="s">
        <v>431</v>
      </c>
    </row>
    <row r="456" spans="2:6" x14ac:dyDescent="0.25">
      <c r="B456" s="38">
        <v>45881</v>
      </c>
      <c r="C456" s="37" t="s">
        <v>279</v>
      </c>
      <c r="E456">
        <v>10</v>
      </c>
      <c r="F456" s="37" t="s">
        <v>431</v>
      </c>
    </row>
    <row r="457" spans="2:6" x14ac:dyDescent="0.25">
      <c r="B457" s="38">
        <v>45881</v>
      </c>
      <c r="C457" s="37" t="s">
        <v>246</v>
      </c>
      <c r="E457">
        <v>13</v>
      </c>
      <c r="F457" s="37" t="s">
        <v>431</v>
      </c>
    </row>
    <row r="458" spans="2:6" x14ac:dyDescent="0.25">
      <c r="B458" s="38">
        <v>45882</v>
      </c>
      <c r="C458" s="37" t="s">
        <v>258</v>
      </c>
      <c r="E458">
        <v>4</v>
      </c>
      <c r="F458" s="37"/>
    </row>
    <row r="459" spans="2:6" x14ac:dyDescent="0.25">
      <c r="B459" s="38">
        <v>45882</v>
      </c>
      <c r="C459" s="37" t="s">
        <v>432</v>
      </c>
      <c r="D459">
        <v>10</v>
      </c>
      <c r="F459" s="37" t="s">
        <v>463</v>
      </c>
    </row>
    <row r="460" spans="2:6" x14ac:dyDescent="0.25">
      <c r="B460" s="38">
        <v>45884</v>
      </c>
      <c r="C460" s="37" t="s">
        <v>251</v>
      </c>
      <c r="E460">
        <v>10</v>
      </c>
      <c r="F460" s="37"/>
    </row>
    <row r="461" spans="2:6" x14ac:dyDescent="0.25">
      <c r="B461" s="38">
        <v>45884</v>
      </c>
      <c r="C461" s="37" t="s">
        <v>432</v>
      </c>
      <c r="E461">
        <v>2</v>
      </c>
      <c r="F461" s="37"/>
    </row>
    <row r="462" spans="2:6" x14ac:dyDescent="0.25">
      <c r="B462" s="38">
        <v>45884</v>
      </c>
      <c r="C462" s="37" t="s">
        <v>229</v>
      </c>
      <c r="E462">
        <v>4</v>
      </c>
      <c r="F462" s="37"/>
    </row>
    <row r="463" spans="2:6" x14ac:dyDescent="0.25">
      <c r="B463" s="38">
        <v>45884</v>
      </c>
      <c r="C463" s="37" t="s">
        <v>416</v>
      </c>
      <c r="E463">
        <v>1</v>
      </c>
      <c r="F463" s="37"/>
    </row>
    <row r="464" spans="2:6" x14ac:dyDescent="0.25">
      <c r="B464" s="38">
        <v>45884</v>
      </c>
      <c r="C464" s="37" t="s">
        <v>232</v>
      </c>
      <c r="E464">
        <v>1</v>
      </c>
      <c r="F464" s="37"/>
    </row>
    <row r="465" spans="2:6" x14ac:dyDescent="0.25">
      <c r="B465" s="38">
        <v>45885</v>
      </c>
      <c r="C465" s="37" t="s">
        <v>378</v>
      </c>
      <c r="E465">
        <v>1</v>
      </c>
      <c r="F465" s="37"/>
    </row>
    <row r="466" spans="2:6" x14ac:dyDescent="0.25">
      <c r="B466" s="38">
        <v>45885</v>
      </c>
      <c r="C466" s="37" t="s">
        <v>266</v>
      </c>
      <c r="E466">
        <v>5</v>
      </c>
      <c r="F466" s="37"/>
    </row>
    <row r="467" spans="2:6" x14ac:dyDescent="0.25">
      <c r="B467" s="38">
        <v>45885</v>
      </c>
      <c r="C467" s="37" t="s">
        <v>274</v>
      </c>
      <c r="E467">
        <v>1</v>
      </c>
      <c r="F467" s="37"/>
    </row>
    <row r="468" spans="2:6" x14ac:dyDescent="0.25">
      <c r="B468" s="38">
        <v>45885</v>
      </c>
      <c r="C468" s="37" t="s">
        <v>171</v>
      </c>
      <c r="E468">
        <v>2</v>
      </c>
      <c r="F468" s="37"/>
    </row>
    <row r="469" spans="2:6" x14ac:dyDescent="0.25">
      <c r="B469" s="38">
        <v>45885</v>
      </c>
      <c r="C469" s="37" t="s">
        <v>277</v>
      </c>
      <c r="E469">
        <v>5</v>
      </c>
      <c r="F469" s="37"/>
    </row>
    <row r="470" spans="2:6" x14ac:dyDescent="0.25">
      <c r="B470" s="38">
        <v>45885</v>
      </c>
      <c r="C470" s="37" t="s">
        <v>395</v>
      </c>
      <c r="E470">
        <v>1</v>
      </c>
      <c r="F470" s="37"/>
    </row>
    <row r="471" spans="2:6" x14ac:dyDescent="0.25">
      <c r="B471" s="38">
        <v>45885</v>
      </c>
      <c r="C471" s="37" t="s">
        <v>411</v>
      </c>
      <c r="E471">
        <v>9</v>
      </c>
      <c r="F471" s="37"/>
    </row>
    <row r="472" spans="2:6" x14ac:dyDescent="0.25">
      <c r="B472" s="38">
        <v>45885</v>
      </c>
      <c r="C472" s="37" t="s">
        <v>421</v>
      </c>
      <c r="E472">
        <v>2</v>
      </c>
      <c r="F472" s="37"/>
    </row>
    <row r="473" spans="2:6" x14ac:dyDescent="0.25">
      <c r="B473" s="38">
        <v>45885</v>
      </c>
      <c r="C473" s="37" t="s">
        <v>235</v>
      </c>
      <c r="E473">
        <v>1</v>
      </c>
      <c r="F473" s="37"/>
    </row>
    <row r="474" spans="2:6" x14ac:dyDescent="0.25">
      <c r="B474" s="38">
        <v>45885</v>
      </c>
      <c r="C474" s="37" t="s">
        <v>231</v>
      </c>
      <c r="E474">
        <v>3</v>
      </c>
      <c r="F474" s="37"/>
    </row>
    <row r="475" spans="2:6" x14ac:dyDescent="0.25">
      <c r="B475" s="38">
        <v>45885</v>
      </c>
      <c r="C475" s="37" t="s">
        <v>344</v>
      </c>
      <c r="E475">
        <v>3</v>
      </c>
      <c r="F475" s="37"/>
    </row>
    <row r="476" spans="2:6" x14ac:dyDescent="0.25">
      <c r="B476" s="38">
        <v>45885</v>
      </c>
      <c r="C476" s="37" t="s">
        <v>429</v>
      </c>
      <c r="E476">
        <v>1</v>
      </c>
      <c r="F476" s="37"/>
    </row>
    <row r="477" spans="2:6" x14ac:dyDescent="0.25">
      <c r="B477" s="38">
        <v>45885</v>
      </c>
      <c r="C477" s="37" t="s">
        <v>140</v>
      </c>
      <c r="E477">
        <v>6</v>
      </c>
      <c r="F477" s="37"/>
    </row>
    <row r="478" spans="2:6" x14ac:dyDescent="0.25">
      <c r="B478" s="38">
        <v>45885</v>
      </c>
      <c r="C478" s="37" t="s">
        <v>139</v>
      </c>
      <c r="E478">
        <v>10</v>
      </c>
      <c r="F478" s="37"/>
    </row>
    <row r="479" spans="2:6" x14ac:dyDescent="0.25">
      <c r="B479" s="38">
        <v>45885</v>
      </c>
      <c r="C479" s="37" t="s">
        <v>138</v>
      </c>
      <c r="E479">
        <v>4</v>
      </c>
      <c r="F479" s="37"/>
    </row>
    <row r="480" spans="2:6" x14ac:dyDescent="0.25">
      <c r="B480" s="38">
        <v>45885</v>
      </c>
      <c r="C480" s="37" t="s">
        <v>227</v>
      </c>
      <c r="E480">
        <v>1</v>
      </c>
      <c r="F480" s="37"/>
    </row>
    <row r="481" spans="2:6" x14ac:dyDescent="0.25">
      <c r="B481" s="38">
        <v>45885</v>
      </c>
      <c r="C481" s="37" t="s">
        <v>155</v>
      </c>
      <c r="E481">
        <v>5</v>
      </c>
      <c r="F481" s="37"/>
    </row>
    <row r="482" spans="2:6" x14ac:dyDescent="0.25">
      <c r="B482" s="38">
        <v>45885</v>
      </c>
      <c r="C482" s="37" t="s">
        <v>419</v>
      </c>
      <c r="E482">
        <v>3</v>
      </c>
      <c r="F482" s="37"/>
    </row>
    <row r="483" spans="2:6" x14ac:dyDescent="0.25">
      <c r="B483" s="38">
        <v>45885</v>
      </c>
      <c r="C483" s="37" t="s">
        <v>144</v>
      </c>
      <c r="E483">
        <v>5</v>
      </c>
      <c r="F483" s="37"/>
    </row>
    <row r="484" spans="2:6" x14ac:dyDescent="0.25">
      <c r="B484" s="38">
        <v>45885</v>
      </c>
      <c r="C484" s="37" t="s">
        <v>142</v>
      </c>
      <c r="E484">
        <v>4</v>
      </c>
      <c r="F484" s="37"/>
    </row>
    <row r="485" spans="2:6" x14ac:dyDescent="0.25">
      <c r="B485" s="38">
        <v>45885</v>
      </c>
      <c r="C485" s="37" t="s">
        <v>434</v>
      </c>
      <c r="D485">
        <v>22</v>
      </c>
      <c r="E485">
        <v>0</v>
      </c>
      <c r="F485" s="37" t="s">
        <v>436</v>
      </c>
    </row>
    <row r="486" spans="2:6" x14ac:dyDescent="0.25">
      <c r="B486" s="38">
        <v>45885</v>
      </c>
      <c r="C486" s="37" t="s">
        <v>222</v>
      </c>
      <c r="E486">
        <v>3</v>
      </c>
      <c r="F486" s="37"/>
    </row>
    <row r="487" spans="2:6" x14ac:dyDescent="0.25">
      <c r="B487" s="38">
        <v>45890</v>
      </c>
      <c r="C487" t="s">
        <v>437</v>
      </c>
      <c r="D487">
        <v>10</v>
      </c>
      <c r="F487" s="37" t="s">
        <v>450</v>
      </c>
    </row>
    <row r="488" spans="2:6" x14ac:dyDescent="0.25">
      <c r="B488" s="38">
        <v>45890</v>
      </c>
      <c r="C488" t="s">
        <v>438</v>
      </c>
      <c r="D488">
        <v>12</v>
      </c>
      <c r="F488" s="37" t="s">
        <v>450</v>
      </c>
    </row>
    <row r="489" spans="2:6" x14ac:dyDescent="0.25">
      <c r="B489" s="38">
        <v>45890</v>
      </c>
      <c r="C489" t="s">
        <v>439</v>
      </c>
      <c r="D489">
        <v>12</v>
      </c>
      <c r="F489" s="37" t="s">
        <v>450</v>
      </c>
    </row>
    <row r="490" spans="2:6" x14ac:dyDescent="0.25">
      <c r="B490" s="38">
        <v>45890</v>
      </c>
      <c r="C490" t="s">
        <v>440</v>
      </c>
      <c r="D490">
        <v>10</v>
      </c>
      <c r="F490" s="37" t="s">
        <v>450</v>
      </c>
    </row>
    <row r="491" spans="2:6" x14ac:dyDescent="0.25">
      <c r="B491" s="38">
        <v>45890</v>
      </c>
      <c r="C491" t="s">
        <v>532</v>
      </c>
      <c r="D491">
        <v>10</v>
      </c>
      <c r="F491" s="37" t="s">
        <v>450</v>
      </c>
    </row>
    <row r="492" spans="2:6" x14ac:dyDescent="0.25">
      <c r="B492" s="38">
        <v>45890</v>
      </c>
      <c r="C492" t="s">
        <v>441</v>
      </c>
      <c r="D492">
        <v>3</v>
      </c>
      <c r="F492" s="37" t="s">
        <v>450</v>
      </c>
    </row>
    <row r="493" spans="2:6" x14ac:dyDescent="0.25">
      <c r="B493" s="38">
        <v>45890</v>
      </c>
      <c r="C493" t="s">
        <v>442</v>
      </c>
      <c r="D493">
        <v>5</v>
      </c>
      <c r="F493" s="37" t="s">
        <v>450</v>
      </c>
    </row>
    <row r="494" spans="2:6" x14ac:dyDescent="0.25">
      <c r="B494" s="38">
        <v>45890</v>
      </c>
      <c r="C494" t="s">
        <v>448</v>
      </c>
      <c r="D494">
        <v>5</v>
      </c>
      <c r="F494" s="37" t="s">
        <v>450</v>
      </c>
    </row>
    <row r="495" spans="2:6" x14ac:dyDescent="0.25">
      <c r="B495" s="38">
        <v>45890</v>
      </c>
      <c r="C495" t="s">
        <v>172</v>
      </c>
      <c r="D495">
        <v>6</v>
      </c>
      <c r="F495" s="37" t="s">
        <v>450</v>
      </c>
    </row>
    <row r="496" spans="2:6" x14ac:dyDescent="0.25">
      <c r="B496" s="38">
        <v>45890</v>
      </c>
      <c r="C496" t="s">
        <v>443</v>
      </c>
      <c r="D496">
        <v>5</v>
      </c>
      <c r="F496" s="37" t="s">
        <v>451</v>
      </c>
    </row>
    <row r="497" spans="2:6" x14ac:dyDescent="0.25">
      <c r="B497" s="38">
        <v>45890</v>
      </c>
      <c r="C497" t="s">
        <v>445</v>
      </c>
      <c r="D497">
        <v>5</v>
      </c>
      <c r="F497" s="37" t="s">
        <v>451</v>
      </c>
    </row>
    <row r="498" spans="2:6" x14ac:dyDescent="0.25">
      <c r="B498" s="38">
        <v>45890</v>
      </c>
      <c r="C498" t="s">
        <v>172</v>
      </c>
      <c r="E498">
        <v>6</v>
      </c>
      <c r="F498" s="37"/>
    </row>
    <row r="499" spans="2:6" x14ac:dyDescent="0.25">
      <c r="B499" s="38">
        <v>45890</v>
      </c>
      <c r="C499" t="s">
        <v>439</v>
      </c>
      <c r="E499">
        <v>4</v>
      </c>
      <c r="F499" s="37"/>
    </row>
    <row r="500" spans="2:6" x14ac:dyDescent="0.25">
      <c r="B500" s="38">
        <v>45890</v>
      </c>
      <c r="C500" t="s">
        <v>437</v>
      </c>
      <c r="E500">
        <v>3</v>
      </c>
      <c r="F500" s="37"/>
    </row>
    <row r="501" spans="2:6" x14ac:dyDescent="0.25">
      <c r="B501" s="38">
        <v>45890</v>
      </c>
      <c r="C501" t="s">
        <v>445</v>
      </c>
      <c r="E501">
        <v>4</v>
      </c>
      <c r="F501" s="37"/>
    </row>
    <row r="502" spans="2:6" x14ac:dyDescent="0.25">
      <c r="B502" s="38">
        <v>45890</v>
      </c>
      <c r="C502" t="s">
        <v>448</v>
      </c>
      <c r="E502">
        <v>5</v>
      </c>
      <c r="F502" s="37"/>
    </row>
    <row r="503" spans="2:6" x14ac:dyDescent="0.25">
      <c r="B503" s="38">
        <v>45890</v>
      </c>
      <c r="C503" t="s">
        <v>532</v>
      </c>
      <c r="E503">
        <v>1</v>
      </c>
      <c r="F503" s="37"/>
    </row>
    <row r="504" spans="2:6" x14ac:dyDescent="0.25">
      <c r="B504" s="38">
        <v>45890</v>
      </c>
      <c r="C504" t="s">
        <v>395</v>
      </c>
      <c r="E504">
        <v>2</v>
      </c>
      <c r="F504" s="37"/>
    </row>
    <row r="505" spans="2:6" x14ac:dyDescent="0.25">
      <c r="B505" s="38">
        <v>45890</v>
      </c>
      <c r="C505" t="s">
        <v>256</v>
      </c>
      <c r="E505">
        <v>1</v>
      </c>
      <c r="F505" s="37"/>
    </row>
    <row r="506" spans="2:6" x14ac:dyDescent="0.25">
      <c r="B506" s="38">
        <v>45890</v>
      </c>
      <c r="C506" t="s">
        <v>421</v>
      </c>
      <c r="E506">
        <v>7</v>
      </c>
      <c r="F506" s="37"/>
    </row>
    <row r="507" spans="2:6" x14ac:dyDescent="0.25">
      <c r="B507" s="38">
        <v>45890</v>
      </c>
      <c r="C507" t="s">
        <v>417</v>
      </c>
      <c r="E507">
        <v>2</v>
      </c>
      <c r="F507" s="37"/>
    </row>
    <row r="508" spans="2:6" x14ac:dyDescent="0.25">
      <c r="B508" s="38">
        <v>45890</v>
      </c>
      <c r="C508" t="s">
        <v>227</v>
      </c>
      <c r="E508">
        <v>1</v>
      </c>
      <c r="F508" s="37"/>
    </row>
    <row r="509" spans="2:6" x14ac:dyDescent="0.25">
      <c r="B509" s="38">
        <v>45890</v>
      </c>
      <c r="C509" t="s">
        <v>251</v>
      </c>
      <c r="E509">
        <v>4</v>
      </c>
      <c r="F509" s="37"/>
    </row>
    <row r="510" spans="2:6" x14ac:dyDescent="0.25">
      <c r="B510" s="38">
        <v>45891</v>
      </c>
      <c r="C510" t="s">
        <v>452</v>
      </c>
      <c r="D510">
        <v>20</v>
      </c>
      <c r="F510" s="37" t="s">
        <v>463</v>
      </c>
    </row>
    <row r="511" spans="2:6" x14ac:dyDescent="0.25">
      <c r="B511" s="38">
        <v>45891</v>
      </c>
      <c r="C511" t="s">
        <v>378</v>
      </c>
      <c r="D511">
        <v>5</v>
      </c>
      <c r="F511" s="37" t="s">
        <v>463</v>
      </c>
    </row>
    <row r="512" spans="2:6" x14ac:dyDescent="0.25">
      <c r="B512" s="38">
        <v>45891</v>
      </c>
      <c r="C512" t="s">
        <v>272</v>
      </c>
      <c r="D512">
        <v>3</v>
      </c>
      <c r="F512" s="37" t="s">
        <v>463</v>
      </c>
    </row>
    <row r="513" spans="2:6" x14ac:dyDescent="0.25">
      <c r="B513" s="38">
        <v>45891</v>
      </c>
      <c r="C513" t="s">
        <v>329</v>
      </c>
      <c r="D513">
        <v>3</v>
      </c>
      <c r="F513" s="37" t="s">
        <v>463</v>
      </c>
    </row>
    <row r="514" spans="2:6" x14ac:dyDescent="0.25">
      <c r="B514" s="38">
        <v>45891</v>
      </c>
      <c r="C514" t="s">
        <v>452</v>
      </c>
      <c r="E514">
        <v>5</v>
      </c>
      <c r="F514" s="37"/>
    </row>
    <row r="515" spans="2:6" x14ac:dyDescent="0.25">
      <c r="B515" s="38">
        <v>45891</v>
      </c>
      <c r="C515" t="s">
        <v>117</v>
      </c>
      <c r="E515">
        <v>5</v>
      </c>
      <c r="F515" s="37"/>
    </row>
    <row r="516" spans="2:6" x14ac:dyDescent="0.25">
      <c r="B516" s="38">
        <v>45892</v>
      </c>
      <c r="C516" t="s">
        <v>112</v>
      </c>
      <c r="E516">
        <v>3</v>
      </c>
      <c r="F516" s="37"/>
    </row>
    <row r="517" spans="2:6" x14ac:dyDescent="0.25">
      <c r="B517" s="38">
        <v>45892</v>
      </c>
      <c r="C517" t="s">
        <v>285</v>
      </c>
      <c r="E517">
        <v>2</v>
      </c>
      <c r="F517" s="37"/>
    </row>
    <row r="518" spans="2:6" x14ac:dyDescent="0.25">
      <c r="B518" s="38">
        <v>45892</v>
      </c>
      <c r="C518" t="s">
        <v>291</v>
      </c>
      <c r="E518">
        <v>1</v>
      </c>
      <c r="F518" s="37"/>
    </row>
    <row r="519" spans="2:6" x14ac:dyDescent="0.25">
      <c r="B519" s="38">
        <v>45892</v>
      </c>
      <c r="C519" t="s">
        <v>419</v>
      </c>
      <c r="E519">
        <v>10</v>
      </c>
      <c r="F519" s="37"/>
    </row>
    <row r="520" spans="2:6" x14ac:dyDescent="0.25">
      <c r="B520" s="38">
        <v>45892</v>
      </c>
      <c r="C520" t="s">
        <v>171</v>
      </c>
      <c r="E520">
        <v>2</v>
      </c>
      <c r="F520" s="37"/>
    </row>
    <row r="521" spans="2:6" x14ac:dyDescent="0.25">
      <c r="B521" s="38">
        <v>45892</v>
      </c>
      <c r="C521" t="s">
        <v>152</v>
      </c>
      <c r="E521">
        <v>10</v>
      </c>
      <c r="F521" s="37"/>
    </row>
    <row r="522" spans="2:6" x14ac:dyDescent="0.25">
      <c r="B522" s="38">
        <v>45892</v>
      </c>
      <c r="C522" t="s">
        <v>155</v>
      </c>
      <c r="E522">
        <v>5</v>
      </c>
      <c r="F522" s="37"/>
    </row>
    <row r="523" spans="2:6" x14ac:dyDescent="0.25">
      <c r="B523" s="38">
        <v>45892</v>
      </c>
      <c r="C523" t="s">
        <v>421</v>
      </c>
      <c r="E523">
        <v>6</v>
      </c>
      <c r="F523" s="37"/>
    </row>
    <row r="524" spans="2:6" x14ac:dyDescent="0.25">
      <c r="B524" s="38">
        <v>45892</v>
      </c>
      <c r="C524" t="s">
        <v>429</v>
      </c>
      <c r="E524">
        <v>10</v>
      </c>
      <c r="F524" s="37"/>
    </row>
    <row r="525" spans="2:6" x14ac:dyDescent="0.25">
      <c r="B525" s="38">
        <v>45892</v>
      </c>
      <c r="C525" t="s">
        <v>138</v>
      </c>
      <c r="E525">
        <v>3</v>
      </c>
      <c r="F525" s="37"/>
    </row>
    <row r="526" spans="2:6" x14ac:dyDescent="0.25">
      <c r="B526" s="38">
        <v>45892</v>
      </c>
      <c r="C526" t="s">
        <v>212</v>
      </c>
      <c r="E526">
        <v>10</v>
      </c>
      <c r="F526" s="37"/>
    </row>
    <row r="527" spans="2:6" x14ac:dyDescent="0.25">
      <c r="B527" s="38">
        <v>45892</v>
      </c>
      <c r="C527" t="s">
        <v>230</v>
      </c>
      <c r="E527">
        <v>5</v>
      </c>
      <c r="F527" s="37"/>
    </row>
    <row r="528" spans="2:6" x14ac:dyDescent="0.25">
      <c r="B528" s="38">
        <v>45892</v>
      </c>
      <c r="C528" t="s">
        <v>231</v>
      </c>
      <c r="E528">
        <v>10</v>
      </c>
      <c r="F528" s="37"/>
    </row>
    <row r="529" spans="2:6" x14ac:dyDescent="0.25">
      <c r="B529" s="38">
        <v>45892</v>
      </c>
      <c r="C529" t="s">
        <v>378</v>
      </c>
      <c r="E529">
        <v>1</v>
      </c>
      <c r="F529" s="37"/>
    </row>
    <row r="530" spans="2:6" x14ac:dyDescent="0.25">
      <c r="B530" s="38">
        <v>45892</v>
      </c>
      <c r="C530" t="s">
        <v>445</v>
      </c>
      <c r="E530">
        <v>1</v>
      </c>
      <c r="F530" s="37"/>
    </row>
    <row r="531" spans="2:6" x14ac:dyDescent="0.25">
      <c r="B531" s="38">
        <v>45894</v>
      </c>
      <c r="C531" s="37" t="s">
        <v>454</v>
      </c>
      <c r="D531">
        <v>10</v>
      </c>
      <c r="F531" s="37" t="s">
        <v>460</v>
      </c>
    </row>
    <row r="532" spans="2:6" x14ac:dyDescent="0.25">
      <c r="B532" s="38">
        <v>45894</v>
      </c>
      <c r="C532" s="37" t="s">
        <v>456</v>
      </c>
      <c r="D532">
        <v>10</v>
      </c>
      <c r="F532" s="37" t="s">
        <v>460</v>
      </c>
    </row>
    <row r="533" spans="2:6" x14ac:dyDescent="0.25">
      <c r="B533" s="38">
        <v>45894</v>
      </c>
      <c r="C533" s="37" t="s">
        <v>458</v>
      </c>
      <c r="D533">
        <v>10</v>
      </c>
      <c r="F533" s="37" t="s">
        <v>460</v>
      </c>
    </row>
    <row r="534" spans="2:6" x14ac:dyDescent="0.25">
      <c r="B534" s="38">
        <v>45894</v>
      </c>
      <c r="C534" s="37" t="s">
        <v>483</v>
      </c>
      <c r="D534">
        <v>10</v>
      </c>
      <c r="F534" s="37" t="s">
        <v>460</v>
      </c>
    </row>
    <row r="535" spans="2:6" x14ac:dyDescent="0.25">
      <c r="B535" s="38">
        <v>45894</v>
      </c>
      <c r="C535" s="37" t="s">
        <v>445</v>
      </c>
      <c r="D535">
        <v>20</v>
      </c>
      <c r="F535" s="37" t="s">
        <v>451</v>
      </c>
    </row>
    <row r="536" spans="2:6" x14ac:dyDescent="0.25">
      <c r="B536" s="38">
        <v>45894</v>
      </c>
      <c r="C536" s="37" t="s">
        <v>454</v>
      </c>
      <c r="E536">
        <v>10</v>
      </c>
      <c r="F536" s="37"/>
    </row>
    <row r="537" spans="2:6" x14ac:dyDescent="0.25">
      <c r="B537" s="38">
        <v>45894</v>
      </c>
      <c r="C537" s="37" t="s">
        <v>456</v>
      </c>
      <c r="E537">
        <v>10</v>
      </c>
      <c r="F537" s="37"/>
    </row>
    <row r="538" spans="2:6" x14ac:dyDescent="0.25">
      <c r="B538" s="38">
        <v>45894</v>
      </c>
      <c r="C538" s="37" t="s">
        <v>532</v>
      </c>
      <c r="E538">
        <v>9</v>
      </c>
      <c r="F538" s="37"/>
    </row>
    <row r="539" spans="2:6" x14ac:dyDescent="0.25">
      <c r="B539" s="38">
        <v>45894</v>
      </c>
      <c r="C539" s="37" t="s">
        <v>483</v>
      </c>
      <c r="E539">
        <v>5</v>
      </c>
      <c r="F539" s="37"/>
    </row>
    <row r="540" spans="2:6" x14ac:dyDescent="0.25">
      <c r="B540" s="38">
        <v>45894</v>
      </c>
      <c r="C540" s="37" t="s">
        <v>209</v>
      </c>
      <c r="E540">
        <v>15</v>
      </c>
      <c r="F540" s="37"/>
    </row>
    <row r="541" spans="2:6" x14ac:dyDescent="0.25">
      <c r="B541" s="38">
        <v>45894</v>
      </c>
      <c r="C541" s="37" t="s">
        <v>439</v>
      </c>
      <c r="E541">
        <v>4</v>
      </c>
      <c r="F541" s="37"/>
    </row>
    <row r="542" spans="2:6" x14ac:dyDescent="0.25">
      <c r="B542" s="38">
        <v>45895</v>
      </c>
      <c r="C542" s="37" t="s">
        <v>406</v>
      </c>
      <c r="E542">
        <v>1</v>
      </c>
      <c r="F542" s="37" t="s">
        <v>462</v>
      </c>
    </row>
    <row r="543" spans="2:6" x14ac:dyDescent="0.25">
      <c r="B543" s="38">
        <v>45895</v>
      </c>
      <c r="C543" s="37" t="s">
        <v>445</v>
      </c>
      <c r="E543">
        <v>2</v>
      </c>
      <c r="F543" s="37"/>
    </row>
    <row r="544" spans="2:6" x14ac:dyDescent="0.25">
      <c r="B544" s="38">
        <v>45895</v>
      </c>
      <c r="C544" s="37" t="s">
        <v>251</v>
      </c>
      <c r="E544">
        <v>6</v>
      </c>
      <c r="F544" s="37"/>
    </row>
    <row r="545" spans="2:6" x14ac:dyDescent="0.25">
      <c r="B545" s="38">
        <v>45895</v>
      </c>
      <c r="C545" s="37" t="s">
        <v>395</v>
      </c>
      <c r="E545">
        <v>2</v>
      </c>
      <c r="F545" s="37"/>
    </row>
    <row r="546" spans="2:6" x14ac:dyDescent="0.25">
      <c r="B546" s="38">
        <v>45895</v>
      </c>
      <c r="C546" s="37" t="s">
        <v>421</v>
      </c>
      <c r="D546">
        <v>30</v>
      </c>
      <c r="F546" s="37"/>
    </row>
    <row r="547" spans="2:6" x14ac:dyDescent="0.25">
      <c r="B547" s="38">
        <v>45895</v>
      </c>
      <c r="C547" s="37" t="s">
        <v>228</v>
      </c>
      <c r="D547">
        <v>20</v>
      </c>
      <c r="F547" s="37"/>
    </row>
    <row r="548" spans="2:6" x14ac:dyDescent="0.25">
      <c r="B548" s="38">
        <v>45895</v>
      </c>
      <c r="C548" s="37" t="s">
        <v>112</v>
      </c>
      <c r="D548">
        <v>20</v>
      </c>
      <c r="F548" s="37"/>
    </row>
    <row r="549" spans="2:6" x14ac:dyDescent="0.25">
      <c r="B549" s="38">
        <v>45895</v>
      </c>
      <c r="C549" s="37" t="s">
        <v>171</v>
      </c>
      <c r="D549">
        <v>20</v>
      </c>
      <c r="F549" s="37"/>
    </row>
    <row r="550" spans="2:6" x14ac:dyDescent="0.25">
      <c r="B550" s="38">
        <v>45895</v>
      </c>
      <c r="C550" s="37" t="s">
        <v>461</v>
      </c>
      <c r="D550">
        <v>10</v>
      </c>
      <c r="F550" s="37"/>
    </row>
    <row r="551" spans="2:6" x14ac:dyDescent="0.25">
      <c r="B551" s="38">
        <v>45896</v>
      </c>
      <c r="C551" s="37" t="s">
        <v>272</v>
      </c>
      <c r="E551">
        <v>2</v>
      </c>
      <c r="F551" s="37"/>
    </row>
    <row r="552" spans="2:6" x14ac:dyDescent="0.25">
      <c r="B552" s="38">
        <v>45897</v>
      </c>
      <c r="C552" s="37" t="s">
        <v>250</v>
      </c>
      <c r="E552">
        <v>20</v>
      </c>
      <c r="F552" s="37"/>
    </row>
    <row r="553" spans="2:6" x14ac:dyDescent="0.25">
      <c r="B553" s="38">
        <v>45897</v>
      </c>
      <c r="C553" s="37" t="s">
        <v>445</v>
      </c>
      <c r="E553">
        <v>2</v>
      </c>
      <c r="F553" s="37"/>
    </row>
    <row r="554" spans="2:6" x14ac:dyDescent="0.25">
      <c r="B554" s="38">
        <v>45897</v>
      </c>
      <c r="C554" s="37" t="s">
        <v>112</v>
      </c>
      <c r="E554">
        <v>6</v>
      </c>
      <c r="F554" s="37"/>
    </row>
    <row r="555" spans="2:6" x14ac:dyDescent="0.25">
      <c r="B555" s="38">
        <v>45897</v>
      </c>
      <c r="C555" s="37" t="s">
        <v>251</v>
      </c>
      <c r="E555">
        <v>20</v>
      </c>
      <c r="F555" s="37"/>
    </row>
    <row r="556" spans="2:6" x14ac:dyDescent="0.25">
      <c r="B556" s="38">
        <v>45897</v>
      </c>
      <c r="C556" s="37" t="s">
        <v>439</v>
      </c>
      <c r="E556">
        <v>4</v>
      </c>
      <c r="F556" s="37"/>
    </row>
    <row r="557" spans="2:6" x14ac:dyDescent="0.25">
      <c r="B557" s="38">
        <v>45897</v>
      </c>
      <c r="C557" s="37" t="s">
        <v>229</v>
      </c>
      <c r="E557">
        <v>5</v>
      </c>
      <c r="F557" s="37"/>
    </row>
    <row r="558" spans="2:6" x14ac:dyDescent="0.25">
      <c r="B558" s="38">
        <v>45897</v>
      </c>
      <c r="C558" s="37" t="s">
        <v>416</v>
      </c>
      <c r="E558">
        <v>1</v>
      </c>
      <c r="F558" s="37"/>
    </row>
    <row r="559" spans="2:6" x14ac:dyDescent="0.25">
      <c r="B559" s="38">
        <v>45897</v>
      </c>
      <c r="C559" s="37" t="s">
        <v>235</v>
      </c>
      <c r="E559">
        <v>1</v>
      </c>
      <c r="F559" s="37"/>
    </row>
    <row r="560" spans="2:6" x14ac:dyDescent="0.25">
      <c r="B560" s="38">
        <v>45897</v>
      </c>
      <c r="C560" s="37" t="s">
        <v>258</v>
      </c>
      <c r="D560">
        <v>20</v>
      </c>
      <c r="F560" s="37" t="s">
        <v>463</v>
      </c>
    </row>
    <row r="561" spans="2:6" x14ac:dyDescent="0.25">
      <c r="B561" s="38">
        <v>45897</v>
      </c>
      <c r="C561" s="37" t="s">
        <v>258</v>
      </c>
      <c r="E561">
        <v>10</v>
      </c>
      <c r="F561" s="37"/>
    </row>
    <row r="562" spans="2:6" x14ac:dyDescent="0.25">
      <c r="B562" s="38">
        <v>45898</v>
      </c>
      <c r="C562" s="37" t="s">
        <v>380</v>
      </c>
      <c r="E562">
        <v>1</v>
      </c>
      <c r="F562" s="37" t="s">
        <v>464</v>
      </c>
    </row>
    <row r="563" spans="2:6" x14ac:dyDescent="0.25">
      <c r="B563" s="38">
        <v>45899</v>
      </c>
      <c r="C563" s="37" t="s">
        <v>258</v>
      </c>
      <c r="E563">
        <v>10</v>
      </c>
      <c r="F563" s="37"/>
    </row>
    <row r="564" spans="2:6" x14ac:dyDescent="0.25">
      <c r="B564" s="38">
        <v>45899</v>
      </c>
      <c r="C564" s="37" t="s">
        <v>452</v>
      </c>
      <c r="E564">
        <v>5</v>
      </c>
      <c r="F564" s="37"/>
    </row>
    <row r="565" spans="2:6" x14ac:dyDescent="0.25">
      <c r="B565" s="38">
        <v>45899</v>
      </c>
      <c r="C565" s="37" t="s">
        <v>395</v>
      </c>
      <c r="E565">
        <v>2</v>
      </c>
      <c r="F565" s="37"/>
    </row>
    <row r="566" spans="2:6" x14ac:dyDescent="0.25">
      <c r="B566" s="38">
        <v>45899</v>
      </c>
      <c r="C566" s="37" t="s">
        <v>425</v>
      </c>
      <c r="E566">
        <v>2</v>
      </c>
      <c r="F566" s="37"/>
    </row>
    <row r="567" spans="2:6" x14ac:dyDescent="0.25">
      <c r="B567" s="38">
        <v>45899</v>
      </c>
      <c r="C567" s="37" t="s">
        <v>253</v>
      </c>
      <c r="E567">
        <v>2</v>
      </c>
      <c r="F567" s="37"/>
    </row>
    <row r="568" spans="2:6" x14ac:dyDescent="0.25">
      <c r="B568" s="38">
        <v>45899</v>
      </c>
      <c r="C568" s="37" t="s">
        <v>256</v>
      </c>
      <c r="E568">
        <v>1</v>
      </c>
      <c r="F568" s="37"/>
    </row>
    <row r="569" spans="2:6" x14ac:dyDescent="0.25">
      <c r="B569" s="38">
        <v>45899</v>
      </c>
      <c r="C569" s="37" t="s">
        <v>171</v>
      </c>
      <c r="E569">
        <v>5</v>
      </c>
      <c r="F569" s="37"/>
    </row>
    <row r="570" spans="2:6" x14ac:dyDescent="0.25">
      <c r="B570" s="38">
        <v>45899</v>
      </c>
      <c r="C570" s="37" t="s">
        <v>445</v>
      </c>
      <c r="E570">
        <v>3</v>
      </c>
      <c r="F570" s="37"/>
    </row>
    <row r="571" spans="2:6" x14ac:dyDescent="0.25">
      <c r="B571" s="38">
        <v>45899</v>
      </c>
      <c r="C571" s="37" t="s">
        <v>415</v>
      </c>
      <c r="E571">
        <v>5</v>
      </c>
      <c r="F571" s="37"/>
    </row>
    <row r="572" spans="2:6" x14ac:dyDescent="0.25">
      <c r="B572" s="38">
        <v>45899</v>
      </c>
      <c r="C572" s="37" t="s">
        <v>223</v>
      </c>
      <c r="E572">
        <v>5</v>
      </c>
      <c r="F572" s="37"/>
    </row>
    <row r="573" spans="2:6" x14ac:dyDescent="0.25">
      <c r="B573" s="38">
        <v>45899</v>
      </c>
      <c r="C573" s="37" t="s">
        <v>229</v>
      </c>
      <c r="E573">
        <v>4</v>
      </c>
      <c r="F573" s="37"/>
    </row>
    <row r="574" spans="2:6" x14ac:dyDescent="0.25">
      <c r="B574" s="38">
        <v>45899</v>
      </c>
      <c r="C574" s="37" t="s">
        <v>261</v>
      </c>
      <c r="E574">
        <v>5</v>
      </c>
      <c r="F574" s="37"/>
    </row>
    <row r="575" spans="2:6" x14ac:dyDescent="0.25">
      <c r="B575" s="38">
        <v>45899</v>
      </c>
      <c r="C575" s="37" t="s">
        <v>213</v>
      </c>
      <c r="E575">
        <v>10</v>
      </c>
      <c r="F575" s="37"/>
    </row>
    <row r="576" spans="2:6" x14ac:dyDescent="0.25">
      <c r="B576" s="38">
        <v>45899</v>
      </c>
      <c r="C576" s="37" t="s">
        <v>238</v>
      </c>
      <c r="E576">
        <v>2</v>
      </c>
      <c r="F576" s="37"/>
    </row>
    <row r="577" spans="2:6" x14ac:dyDescent="0.25">
      <c r="B577" s="38">
        <v>45899</v>
      </c>
      <c r="C577" s="37" t="s">
        <v>242</v>
      </c>
      <c r="E577">
        <v>5</v>
      </c>
      <c r="F577" s="37"/>
    </row>
    <row r="578" spans="2:6" x14ac:dyDescent="0.25">
      <c r="B578" s="38">
        <v>45899</v>
      </c>
      <c r="C578" s="37" t="s">
        <v>135</v>
      </c>
      <c r="E578">
        <v>8</v>
      </c>
      <c r="F578" s="37"/>
    </row>
    <row r="579" spans="2:6" x14ac:dyDescent="0.25">
      <c r="B579" s="38">
        <v>45899</v>
      </c>
      <c r="C579" s="37" t="s">
        <v>125</v>
      </c>
      <c r="E579">
        <v>4</v>
      </c>
      <c r="F579" s="37"/>
    </row>
    <row r="580" spans="2:6" x14ac:dyDescent="0.25">
      <c r="B580" s="38">
        <v>45899</v>
      </c>
      <c r="C580" s="37" t="s">
        <v>373</v>
      </c>
      <c r="E580">
        <v>6</v>
      </c>
      <c r="F580" s="37"/>
    </row>
    <row r="581" spans="2:6" x14ac:dyDescent="0.25">
      <c r="B581" s="38">
        <v>45899</v>
      </c>
      <c r="C581" s="37" t="s">
        <v>266</v>
      </c>
      <c r="E581">
        <v>5</v>
      </c>
      <c r="F581" s="37"/>
    </row>
    <row r="582" spans="2:6" x14ac:dyDescent="0.25">
      <c r="B582" s="38">
        <v>45899</v>
      </c>
      <c r="C582" s="37" t="s">
        <v>461</v>
      </c>
      <c r="E582">
        <v>1</v>
      </c>
      <c r="F582" s="37"/>
    </row>
    <row r="583" spans="2:6" x14ac:dyDescent="0.25">
      <c r="B583" s="38">
        <v>45899</v>
      </c>
      <c r="C583" s="37" t="s">
        <v>184</v>
      </c>
      <c r="E583">
        <v>1</v>
      </c>
      <c r="F583" s="37"/>
    </row>
    <row r="584" spans="2:6" x14ac:dyDescent="0.25">
      <c r="B584" s="38">
        <v>45899</v>
      </c>
      <c r="C584" s="37" t="s">
        <v>317</v>
      </c>
      <c r="E584">
        <v>2</v>
      </c>
      <c r="F584" s="37"/>
    </row>
    <row r="585" spans="2:6" x14ac:dyDescent="0.25">
      <c r="B585" s="38">
        <v>45899</v>
      </c>
      <c r="C585" s="37" t="s">
        <v>414</v>
      </c>
      <c r="E585">
        <v>10</v>
      </c>
      <c r="F585" s="37"/>
    </row>
    <row r="586" spans="2:6" x14ac:dyDescent="0.25">
      <c r="B586" s="38">
        <v>45899</v>
      </c>
      <c r="C586" s="37" t="s">
        <v>136</v>
      </c>
      <c r="E586">
        <v>4</v>
      </c>
      <c r="F586" s="37"/>
    </row>
    <row r="587" spans="2:6" x14ac:dyDescent="0.25">
      <c r="B587" s="38">
        <v>45899</v>
      </c>
      <c r="C587" s="37" t="s">
        <v>160</v>
      </c>
      <c r="E587">
        <v>1</v>
      </c>
      <c r="F587" s="37"/>
    </row>
    <row r="588" spans="2:6" x14ac:dyDescent="0.25">
      <c r="B588" s="38">
        <v>45899</v>
      </c>
      <c r="C588" s="37" t="s">
        <v>285</v>
      </c>
      <c r="E588">
        <v>2</v>
      </c>
      <c r="F588" s="37"/>
    </row>
    <row r="589" spans="2:6" x14ac:dyDescent="0.25">
      <c r="B589" s="38">
        <v>45899</v>
      </c>
      <c r="C589" s="37" t="s">
        <v>417</v>
      </c>
      <c r="E589">
        <v>1</v>
      </c>
      <c r="F589" s="37"/>
    </row>
    <row r="590" spans="2:6" x14ac:dyDescent="0.25">
      <c r="B590" s="38">
        <v>45899</v>
      </c>
      <c r="C590" s="37" t="s">
        <v>465</v>
      </c>
      <c r="D590">
        <v>10</v>
      </c>
      <c r="F590" s="37" t="s">
        <v>413</v>
      </c>
    </row>
    <row r="591" spans="2:6" x14ac:dyDescent="0.25">
      <c r="B591" s="38">
        <v>45899</v>
      </c>
      <c r="C591" s="37" t="s">
        <v>466</v>
      </c>
      <c r="D591">
        <v>10</v>
      </c>
      <c r="F591" s="37" t="s">
        <v>413</v>
      </c>
    </row>
    <row r="592" spans="2:6" x14ac:dyDescent="0.25">
      <c r="B592" s="38">
        <v>45899</v>
      </c>
      <c r="C592" s="37" t="s">
        <v>467</v>
      </c>
      <c r="D592">
        <v>10</v>
      </c>
      <c r="F592" s="37" t="s">
        <v>413</v>
      </c>
    </row>
    <row r="593" spans="2:6" x14ac:dyDescent="0.25">
      <c r="B593" s="38">
        <v>45899</v>
      </c>
      <c r="C593" s="37" t="s">
        <v>468</v>
      </c>
      <c r="D593">
        <v>10</v>
      </c>
      <c r="F593" s="37" t="s">
        <v>413</v>
      </c>
    </row>
    <row r="594" spans="2:6" x14ac:dyDescent="0.25">
      <c r="B594" s="38">
        <v>45899</v>
      </c>
      <c r="C594" s="37" t="s">
        <v>473</v>
      </c>
      <c r="D594">
        <v>10</v>
      </c>
      <c r="F594" s="37" t="s">
        <v>413</v>
      </c>
    </row>
    <row r="595" spans="2:6" x14ac:dyDescent="0.25">
      <c r="B595" s="38">
        <v>45899</v>
      </c>
      <c r="C595" s="37" t="s">
        <v>469</v>
      </c>
      <c r="D595">
        <v>20</v>
      </c>
      <c r="F595" s="37" t="s">
        <v>413</v>
      </c>
    </row>
    <row r="596" spans="2:6" x14ac:dyDescent="0.25">
      <c r="B596" s="38">
        <v>45899</v>
      </c>
      <c r="C596" s="37" t="s">
        <v>470</v>
      </c>
      <c r="D596">
        <v>20</v>
      </c>
      <c r="F596" s="37" t="s">
        <v>413</v>
      </c>
    </row>
    <row r="597" spans="2:6" x14ac:dyDescent="0.25">
      <c r="B597" s="38">
        <v>45899</v>
      </c>
      <c r="C597" s="37" t="s">
        <v>471</v>
      </c>
      <c r="D597">
        <v>10</v>
      </c>
      <c r="F597" s="37" t="s">
        <v>413</v>
      </c>
    </row>
    <row r="598" spans="2:6" x14ac:dyDescent="0.25">
      <c r="B598" s="38">
        <v>45899</v>
      </c>
      <c r="C598" s="37" t="s">
        <v>250</v>
      </c>
      <c r="D598">
        <v>50</v>
      </c>
      <c r="F598" s="37" t="s">
        <v>413</v>
      </c>
    </row>
    <row r="599" spans="2:6" x14ac:dyDescent="0.25">
      <c r="B599" s="38">
        <v>45899</v>
      </c>
      <c r="C599" s="37" t="s">
        <v>472</v>
      </c>
      <c r="D599">
        <v>10</v>
      </c>
      <c r="F599" s="37" t="s">
        <v>413</v>
      </c>
    </row>
    <row r="600" spans="2:6" x14ac:dyDescent="0.25">
      <c r="B600" s="38">
        <v>45899</v>
      </c>
      <c r="C600" s="37" t="s">
        <v>469</v>
      </c>
      <c r="E600">
        <v>6</v>
      </c>
      <c r="F600" s="37"/>
    </row>
    <row r="601" spans="2:6" x14ac:dyDescent="0.25">
      <c r="B601" s="38">
        <v>45899</v>
      </c>
      <c r="C601" s="37" t="s">
        <v>470</v>
      </c>
      <c r="E601">
        <v>6</v>
      </c>
      <c r="F601" s="37"/>
    </row>
    <row r="602" spans="2:6" x14ac:dyDescent="0.25">
      <c r="B602" s="38">
        <v>45903</v>
      </c>
      <c r="C602" s="37" t="s">
        <v>482</v>
      </c>
      <c r="E602">
        <v>6</v>
      </c>
      <c r="F602" s="37"/>
    </row>
    <row r="603" spans="2:6" x14ac:dyDescent="0.25">
      <c r="B603" s="38">
        <v>45903</v>
      </c>
      <c r="C603" s="37" t="s">
        <v>121</v>
      </c>
      <c r="E603">
        <v>6</v>
      </c>
      <c r="F603" s="37"/>
    </row>
    <row r="604" spans="2:6" x14ac:dyDescent="0.25">
      <c r="B604" s="38">
        <v>45903</v>
      </c>
      <c r="C604" s="37" t="s">
        <v>395</v>
      </c>
      <c r="E604">
        <v>1</v>
      </c>
      <c r="F604" s="37"/>
    </row>
    <row r="605" spans="2:6" x14ac:dyDescent="0.25">
      <c r="B605" s="38">
        <v>45903</v>
      </c>
      <c r="C605" s="37" t="s">
        <v>228</v>
      </c>
      <c r="E605">
        <v>5</v>
      </c>
      <c r="F605" s="37"/>
    </row>
    <row r="606" spans="2:6" x14ac:dyDescent="0.25">
      <c r="B606" s="38">
        <v>45903</v>
      </c>
      <c r="C606" s="37" t="s">
        <v>427</v>
      </c>
      <c r="E606">
        <v>10</v>
      </c>
      <c r="F606" s="37"/>
    </row>
    <row r="607" spans="2:6" x14ac:dyDescent="0.25">
      <c r="B607" s="38">
        <v>45903</v>
      </c>
      <c r="C607" s="37" t="s">
        <v>445</v>
      </c>
      <c r="E607">
        <v>4</v>
      </c>
      <c r="F607" s="37"/>
    </row>
    <row r="608" spans="2:6" x14ac:dyDescent="0.25">
      <c r="B608" s="38">
        <v>45903</v>
      </c>
      <c r="C608" s="37" t="s">
        <v>416</v>
      </c>
      <c r="E608">
        <v>1</v>
      </c>
      <c r="F608" s="37"/>
    </row>
    <row r="609" spans="2:6" x14ac:dyDescent="0.25">
      <c r="B609" s="38">
        <v>45903</v>
      </c>
      <c r="C609" s="37" t="s">
        <v>443</v>
      </c>
      <c r="E609">
        <v>3</v>
      </c>
      <c r="F609" s="37"/>
    </row>
    <row r="610" spans="2:6" x14ac:dyDescent="0.25">
      <c r="B610" s="38">
        <v>45903</v>
      </c>
      <c r="C610" s="37" t="s">
        <v>222</v>
      </c>
      <c r="E610">
        <v>6</v>
      </c>
      <c r="F610" s="37"/>
    </row>
    <row r="611" spans="2:6" x14ac:dyDescent="0.25">
      <c r="B611" s="38">
        <v>45903</v>
      </c>
      <c r="C611" s="37" t="s">
        <v>171</v>
      </c>
      <c r="E611">
        <v>2</v>
      </c>
      <c r="F611" s="37"/>
    </row>
    <row r="612" spans="2:6" x14ac:dyDescent="0.25">
      <c r="B612" s="38">
        <v>45903</v>
      </c>
      <c r="C612" s="37" t="s">
        <v>480</v>
      </c>
      <c r="D612">
        <v>20</v>
      </c>
      <c r="F612" s="37" t="s">
        <v>481</v>
      </c>
    </row>
    <row r="613" spans="2:6" x14ac:dyDescent="0.25">
      <c r="B613" s="38">
        <v>45904</v>
      </c>
      <c r="C613" s="37" t="s">
        <v>434</v>
      </c>
      <c r="E613">
        <v>4</v>
      </c>
      <c r="F613" s="37"/>
    </row>
    <row r="614" spans="2:6" x14ac:dyDescent="0.25">
      <c r="B614" s="38">
        <v>45905</v>
      </c>
      <c r="C614" s="37" t="s">
        <v>483</v>
      </c>
      <c r="E614">
        <v>3</v>
      </c>
      <c r="F614" s="37"/>
    </row>
    <row r="615" spans="2:6" x14ac:dyDescent="0.25">
      <c r="B615" s="38">
        <v>45905</v>
      </c>
      <c r="C615" s="37" t="s">
        <v>277</v>
      </c>
      <c r="E615">
        <v>5</v>
      </c>
      <c r="F615" s="37"/>
    </row>
    <row r="616" spans="2:6" x14ac:dyDescent="0.25">
      <c r="B616" s="38">
        <v>45905</v>
      </c>
      <c r="C616" s="37" t="s">
        <v>420</v>
      </c>
      <c r="E616">
        <v>7</v>
      </c>
      <c r="F616" s="37"/>
    </row>
    <row r="617" spans="2:6" x14ac:dyDescent="0.25">
      <c r="B617" s="38">
        <v>45908</v>
      </c>
      <c r="C617" s="37" t="s">
        <v>445</v>
      </c>
      <c r="E617">
        <v>1</v>
      </c>
      <c r="F617" s="37"/>
    </row>
    <row r="618" spans="2:6" x14ac:dyDescent="0.25">
      <c r="B618" s="38">
        <v>45908</v>
      </c>
      <c r="C618" s="37" t="s">
        <v>443</v>
      </c>
      <c r="E618">
        <v>1</v>
      </c>
      <c r="F618" s="37"/>
    </row>
    <row r="619" spans="2:6" x14ac:dyDescent="0.25">
      <c r="B619" s="38">
        <v>45909</v>
      </c>
      <c r="C619" s="37" t="s">
        <v>421</v>
      </c>
      <c r="E619">
        <v>8</v>
      </c>
      <c r="F619" s="37"/>
    </row>
    <row r="620" spans="2:6" x14ac:dyDescent="0.25">
      <c r="B620" s="38">
        <v>45909</v>
      </c>
      <c r="C620" s="37" t="s">
        <v>228</v>
      </c>
      <c r="E620">
        <v>5</v>
      </c>
      <c r="F620" s="37"/>
    </row>
    <row r="621" spans="2:6" x14ac:dyDescent="0.25">
      <c r="B621" s="38">
        <v>45909</v>
      </c>
      <c r="C621" s="37" t="s">
        <v>472</v>
      </c>
      <c r="E621">
        <v>5</v>
      </c>
      <c r="F621" s="37"/>
    </row>
    <row r="622" spans="2:6" x14ac:dyDescent="0.25">
      <c r="B622" s="38">
        <v>45909</v>
      </c>
      <c r="C622" s="37" t="s">
        <v>138</v>
      </c>
      <c r="E622">
        <v>4</v>
      </c>
      <c r="F622" s="37"/>
    </row>
    <row r="623" spans="2:6" x14ac:dyDescent="0.25">
      <c r="B623" s="38">
        <v>45909</v>
      </c>
      <c r="C623" s="37" t="s">
        <v>419</v>
      </c>
      <c r="E623">
        <v>6</v>
      </c>
      <c r="F623" s="37"/>
    </row>
    <row r="624" spans="2:6" x14ac:dyDescent="0.25">
      <c r="B624" s="38">
        <v>45909</v>
      </c>
      <c r="C624" s="37" t="s">
        <v>152</v>
      </c>
      <c r="E624">
        <v>8</v>
      </c>
      <c r="F624" s="37"/>
    </row>
    <row r="625" spans="2:6" x14ac:dyDescent="0.25">
      <c r="B625" s="38">
        <v>45909</v>
      </c>
      <c r="C625" s="37" t="s">
        <v>443</v>
      </c>
      <c r="E625">
        <v>1</v>
      </c>
      <c r="F625" s="37"/>
    </row>
    <row r="626" spans="2:6" x14ac:dyDescent="0.25">
      <c r="B626" s="38">
        <v>45909</v>
      </c>
      <c r="C626" s="37" t="s">
        <v>173</v>
      </c>
      <c r="E626">
        <v>1</v>
      </c>
      <c r="F626" s="37"/>
    </row>
    <row r="627" spans="2:6" x14ac:dyDescent="0.25">
      <c r="B627" s="38">
        <v>45909</v>
      </c>
      <c r="C627" s="37" t="s">
        <v>445</v>
      </c>
      <c r="E627">
        <v>2</v>
      </c>
      <c r="F627" s="37"/>
    </row>
    <row r="628" spans="2:6" x14ac:dyDescent="0.25">
      <c r="B628" s="38">
        <v>45909</v>
      </c>
      <c r="C628" s="37" t="s">
        <v>480</v>
      </c>
      <c r="E628">
        <v>4</v>
      </c>
      <c r="F628" s="37"/>
    </row>
    <row r="629" spans="2:6" x14ac:dyDescent="0.25">
      <c r="B629" s="38">
        <v>45909</v>
      </c>
      <c r="C629" s="37" t="s">
        <v>171</v>
      </c>
      <c r="E629">
        <v>4</v>
      </c>
      <c r="F629" s="37"/>
    </row>
    <row r="630" spans="2:6" x14ac:dyDescent="0.25">
      <c r="B630" s="38">
        <v>45909</v>
      </c>
      <c r="C630" s="37" t="s">
        <v>240</v>
      </c>
      <c r="E630">
        <v>2</v>
      </c>
      <c r="F630" s="37"/>
    </row>
    <row r="631" spans="2:6" x14ac:dyDescent="0.25">
      <c r="B631" s="38">
        <v>45909</v>
      </c>
      <c r="C631" s="37" t="s">
        <v>458</v>
      </c>
      <c r="E631">
        <v>5</v>
      </c>
      <c r="F631" s="37"/>
    </row>
    <row r="632" spans="2:6" x14ac:dyDescent="0.25">
      <c r="B632" s="38">
        <v>45909</v>
      </c>
      <c r="C632" s="37" t="s">
        <v>268</v>
      </c>
      <c r="E632">
        <v>5</v>
      </c>
      <c r="F632" s="37"/>
    </row>
    <row r="633" spans="2:6" x14ac:dyDescent="0.25">
      <c r="B633" s="38">
        <v>45909</v>
      </c>
      <c r="C633" s="37" t="s">
        <v>483</v>
      </c>
      <c r="E633">
        <v>2</v>
      </c>
      <c r="F633" s="37"/>
    </row>
    <row r="634" spans="2:6" x14ac:dyDescent="0.25">
      <c r="B634" s="38">
        <v>45909</v>
      </c>
      <c r="C634" s="37" t="s">
        <v>378</v>
      </c>
      <c r="E634">
        <v>1</v>
      </c>
      <c r="F634" s="37"/>
    </row>
    <row r="635" spans="2:6" x14ac:dyDescent="0.25">
      <c r="B635" s="38">
        <v>45909</v>
      </c>
      <c r="C635" s="37" t="s">
        <v>425</v>
      </c>
      <c r="E635">
        <v>2</v>
      </c>
      <c r="F635" s="37"/>
    </row>
    <row r="636" spans="2:6" x14ac:dyDescent="0.25">
      <c r="B636" s="38">
        <v>45909</v>
      </c>
      <c r="C636" s="37" t="s">
        <v>121</v>
      </c>
      <c r="E636">
        <v>6</v>
      </c>
      <c r="F636" s="37"/>
    </row>
    <row r="637" spans="2:6" x14ac:dyDescent="0.25">
      <c r="B637" s="38">
        <v>45909</v>
      </c>
      <c r="C637" s="37" t="s">
        <v>112</v>
      </c>
      <c r="E637">
        <v>8</v>
      </c>
      <c r="F637" s="37"/>
    </row>
    <row r="638" spans="2:6" x14ac:dyDescent="0.25">
      <c r="B638" s="38">
        <v>45911</v>
      </c>
      <c r="C638" s="37" t="s">
        <v>250</v>
      </c>
      <c r="E638">
        <v>10</v>
      </c>
      <c r="F638" s="37"/>
    </row>
    <row r="639" spans="2:6" x14ac:dyDescent="0.25">
      <c r="B639" s="38">
        <v>45911</v>
      </c>
      <c r="C639" s="37" t="s">
        <v>245</v>
      </c>
      <c r="E639">
        <v>2</v>
      </c>
      <c r="F639" s="37"/>
    </row>
    <row r="640" spans="2:6" x14ac:dyDescent="0.25">
      <c r="B640" s="38">
        <v>45911</v>
      </c>
      <c r="C640" s="37" t="s">
        <v>235</v>
      </c>
      <c r="E640">
        <v>1</v>
      </c>
      <c r="F640" s="37"/>
    </row>
    <row r="641" spans="2:6" x14ac:dyDescent="0.25">
      <c r="B641" s="38">
        <v>45911</v>
      </c>
      <c r="C641" s="37" t="s">
        <v>465</v>
      </c>
      <c r="E641">
        <v>1</v>
      </c>
      <c r="F641" s="37"/>
    </row>
    <row r="642" spans="2:6" x14ac:dyDescent="0.25">
      <c r="B642" s="38">
        <v>45911</v>
      </c>
      <c r="C642" s="37" t="s">
        <v>466</v>
      </c>
      <c r="E642">
        <v>1</v>
      </c>
      <c r="F642" s="37"/>
    </row>
    <row r="643" spans="2:6" x14ac:dyDescent="0.25">
      <c r="B643" s="38">
        <v>45911</v>
      </c>
      <c r="C643" s="37" t="s">
        <v>473</v>
      </c>
      <c r="E643">
        <v>1</v>
      </c>
      <c r="F643" s="37"/>
    </row>
    <row r="644" spans="2:6" x14ac:dyDescent="0.25">
      <c r="B644" s="38">
        <v>45911</v>
      </c>
      <c r="C644" s="37" t="s">
        <v>467</v>
      </c>
      <c r="E644">
        <v>1</v>
      </c>
      <c r="F644" s="37"/>
    </row>
    <row r="645" spans="2:6" x14ac:dyDescent="0.25">
      <c r="B645" s="38">
        <v>45911</v>
      </c>
      <c r="C645" s="37" t="s">
        <v>468</v>
      </c>
      <c r="E645">
        <v>1</v>
      </c>
      <c r="F645" s="37"/>
    </row>
    <row r="646" spans="2:6" x14ac:dyDescent="0.25">
      <c r="B646" s="38">
        <v>45911</v>
      </c>
      <c r="C646" s="37" t="s">
        <v>372</v>
      </c>
      <c r="E646">
        <v>2</v>
      </c>
      <c r="F646" s="37"/>
    </row>
    <row r="647" spans="2:6" x14ac:dyDescent="0.25">
      <c r="B647" s="38">
        <v>45911</v>
      </c>
      <c r="C647" s="37" t="s">
        <v>277</v>
      </c>
      <c r="E647">
        <v>5</v>
      </c>
      <c r="F647" s="37"/>
    </row>
    <row r="648" spans="2:6" x14ac:dyDescent="0.25">
      <c r="B648" s="38">
        <v>45911</v>
      </c>
      <c r="C648" s="37" t="s">
        <v>445</v>
      </c>
      <c r="E648">
        <v>2</v>
      </c>
      <c r="F648" s="37"/>
    </row>
    <row r="649" spans="2:6" x14ac:dyDescent="0.25">
      <c r="B649" s="38">
        <v>45911</v>
      </c>
      <c r="C649" s="37" t="s">
        <v>124</v>
      </c>
      <c r="E649">
        <v>6</v>
      </c>
      <c r="F649" s="37"/>
    </row>
    <row r="650" spans="2:6" x14ac:dyDescent="0.25">
      <c r="B650" s="38">
        <v>45911</v>
      </c>
      <c r="C650" s="37" t="s">
        <v>212</v>
      </c>
      <c r="E650">
        <v>6</v>
      </c>
      <c r="F650" s="37"/>
    </row>
    <row r="651" spans="2:6" x14ac:dyDescent="0.25">
      <c r="B651" s="38">
        <v>45911</v>
      </c>
      <c r="C651" s="37" t="s">
        <v>160</v>
      </c>
      <c r="E651">
        <v>1</v>
      </c>
      <c r="F651" s="37"/>
    </row>
    <row r="652" spans="2:6" x14ac:dyDescent="0.25">
      <c r="B652" s="38">
        <v>45912</v>
      </c>
      <c r="C652" s="37" t="s">
        <v>445</v>
      </c>
      <c r="D652">
        <v>20</v>
      </c>
      <c r="F652" s="37" t="s">
        <v>481</v>
      </c>
    </row>
    <row r="653" spans="2:6" x14ac:dyDescent="0.25">
      <c r="B653" s="38">
        <v>45912</v>
      </c>
      <c r="C653" s="37" t="s">
        <v>443</v>
      </c>
      <c r="D653">
        <v>25</v>
      </c>
      <c r="F653" s="37" t="s">
        <v>481</v>
      </c>
    </row>
    <row r="654" spans="2:6" x14ac:dyDescent="0.25">
      <c r="B654" s="38">
        <v>45912</v>
      </c>
      <c r="C654" s="37" t="s">
        <v>484</v>
      </c>
      <c r="D654">
        <v>10</v>
      </c>
      <c r="F654" s="37" t="s">
        <v>481</v>
      </c>
    </row>
    <row r="655" spans="2:6" x14ac:dyDescent="0.25">
      <c r="B655" s="38">
        <v>45912</v>
      </c>
      <c r="C655" s="37" t="s">
        <v>484</v>
      </c>
      <c r="E655">
        <v>6</v>
      </c>
      <c r="F655" s="37"/>
    </row>
    <row r="656" spans="2:6" x14ac:dyDescent="0.25">
      <c r="B656" s="38">
        <v>45912</v>
      </c>
      <c r="C656" s="37" t="s">
        <v>443</v>
      </c>
      <c r="E656">
        <v>5</v>
      </c>
      <c r="F656" s="37"/>
    </row>
    <row r="657" spans="2:6" x14ac:dyDescent="0.25">
      <c r="B657" s="38">
        <v>45912</v>
      </c>
      <c r="C657" s="37" t="s">
        <v>250</v>
      </c>
      <c r="E657">
        <v>20</v>
      </c>
      <c r="F657" s="37"/>
    </row>
    <row r="658" spans="2:6" x14ac:dyDescent="0.25">
      <c r="B658" s="38">
        <v>45912</v>
      </c>
      <c r="C658" s="37" t="s">
        <v>445</v>
      </c>
      <c r="E658">
        <v>2</v>
      </c>
      <c r="F658" s="37"/>
    </row>
    <row r="659" spans="2:6" x14ac:dyDescent="0.25">
      <c r="B659" s="38">
        <v>45912</v>
      </c>
      <c r="C659" s="37" t="s">
        <v>420</v>
      </c>
      <c r="E659">
        <v>8</v>
      </c>
      <c r="F659" s="37"/>
    </row>
    <row r="660" spans="2:6" x14ac:dyDescent="0.25">
      <c r="B660" s="38">
        <v>45912</v>
      </c>
      <c r="C660" s="37" t="s">
        <v>452</v>
      </c>
      <c r="E660">
        <v>5</v>
      </c>
      <c r="F660" s="37"/>
    </row>
    <row r="661" spans="2:6" x14ac:dyDescent="0.25">
      <c r="B661" s="38">
        <v>45912</v>
      </c>
      <c r="C661" s="37" t="s">
        <v>144</v>
      </c>
      <c r="E661">
        <v>8</v>
      </c>
      <c r="F661" s="37"/>
    </row>
    <row r="662" spans="2:6" x14ac:dyDescent="0.25">
      <c r="B662" s="38">
        <v>45912</v>
      </c>
      <c r="C662" s="37" t="s">
        <v>171</v>
      </c>
      <c r="E662">
        <v>3</v>
      </c>
      <c r="F662" s="37"/>
    </row>
    <row r="663" spans="2:6" x14ac:dyDescent="0.25">
      <c r="B663" s="38">
        <v>45912</v>
      </c>
      <c r="C663" s="37" t="s">
        <v>237</v>
      </c>
      <c r="E663">
        <v>3</v>
      </c>
      <c r="F663" s="37"/>
    </row>
    <row r="664" spans="2:6" x14ac:dyDescent="0.25">
      <c r="B664" s="38">
        <v>45912</v>
      </c>
      <c r="C664" s="37" t="s">
        <v>378</v>
      </c>
      <c r="E664">
        <v>2</v>
      </c>
      <c r="F664" s="37"/>
    </row>
    <row r="665" spans="2:6" x14ac:dyDescent="0.25">
      <c r="B665" s="38">
        <v>45912</v>
      </c>
      <c r="C665" s="37" t="s">
        <v>235</v>
      </c>
      <c r="E665">
        <v>2</v>
      </c>
      <c r="F665" s="37"/>
    </row>
    <row r="666" spans="2:6" x14ac:dyDescent="0.25">
      <c r="B666" s="38">
        <v>45912</v>
      </c>
      <c r="C666" s="37" t="s">
        <v>421</v>
      </c>
      <c r="E666">
        <v>6</v>
      </c>
      <c r="F666" s="37"/>
    </row>
    <row r="667" spans="2:6" x14ac:dyDescent="0.25">
      <c r="B667" s="38">
        <v>45912</v>
      </c>
      <c r="C667" s="37" t="s">
        <v>221</v>
      </c>
      <c r="E667">
        <v>5</v>
      </c>
      <c r="F667" s="37"/>
    </row>
    <row r="668" spans="2:6" x14ac:dyDescent="0.25">
      <c r="B668" s="38">
        <v>45912</v>
      </c>
      <c r="C668" s="37" t="s">
        <v>231</v>
      </c>
      <c r="E668">
        <v>6</v>
      </c>
      <c r="F668" s="37"/>
    </row>
    <row r="669" spans="2:6" x14ac:dyDescent="0.25">
      <c r="B669" s="38">
        <v>45912</v>
      </c>
      <c r="C669" s="37" t="s">
        <v>212</v>
      </c>
      <c r="E669">
        <v>10</v>
      </c>
      <c r="F669" s="37"/>
    </row>
    <row r="670" spans="2:6" x14ac:dyDescent="0.25">
      <c r="B670" s="38">
        <v>45912</v>
      </c>
      <c r="C670" s="37" t="s">
        <v>285</v>
      </c>
      <c r="E670">
        <v>2</v>
      </c>
      <c r="F670" s="37"/>
    </row>
    <row r="671" spans="2:6" x14ac:dyDescent="0.25">
      <c r="B671" s="38">
        <v>45913</v>
      </c>
      <c r="C671" s="37" t="s">
        <v>488</v>
      </c>
      <c r="D671">
        <v>10</v>
      </c>
      <c r="F671" s="37" t="s">
        <v>413</v>
      </c>
    </row>
    <row r="672" spans="2:6" x14ac:dyDescent="0.25">
      <c r="B672" s="38">
        <v>45913</v>
      </c>
      <c r="C672" s="37" t="s">
        <v>489</v>
      </c>
      <c r="D672">
        <v>10</v>
      </c>
      <c r="F672" s="37" t="s">
        <v>413</v>
      </c>
    </row>
    <row r="673" spans="2:6" x14ac:dyDescent="0.25">
      <c r="B673" s="38">
        <v>45913</v>
      </c>
      <c r="C673" s="37" t="s">
        <v>533</v>
      </c>
      <c r="D673">
        <v>20</v>
      </c>
      <c r="F673" s="37" t="s">
        <v>413</v>
      </c>
    </row>
    <row r="674" spans="2:6" x14ac:dyDescent="0.25">
      <c r="B674" s="38">
        <v>45913</v>
      </c>
      <c r="C674" s="37" t="s">
        <v>490</v>
      </c>
      <c r="D674">
        <v>20</v>
      </c>
      <c r="F674" s="37" t="s">
        <v>413</v>
      </c>
    </row>
    <row r="675" spans="2:6" x14ac:dyDescent="0.25">
      <c r="B675" s="38">
        <v>45913</v>
      </c>
      <c r="C675" s="37" t="s">
        <v>491</v>
      </c>
      <c r="D675">
        <v>20</v>
      </c>
      <c r="F675" s="37" t="s">
        <v>413</v>
      </c>
    </row>
    <row r="676" spans="2:6" x14ac:dyDescent="0.25">
      <c r="B676" s="38">
        <v>45913</v>
      </c>
      <c r="C676" s="37" t="s">
        <v>492</v>
      </c>
      <c r="D676">
        <v>20</v>
      </c>
      <c r="F676" s="37" t="s">
        <v>413</v>
      </c>
    </row>
    <row r="677" spans="2:6" x14ac:dyDescent="0.25">
      <c r="B677" s="38">
        <v>45913</v>
      </c>
      <c r="C677" s="37" t="s">
        <v>472</v>
      </c>
      <c r="D677">
        <v>20</v>
      </c>
      <c r="F677" s="37" t="s">
        <v>413</v>
      </c>
    </row>
    <row r="678" spans="2:6" x14ac:dyDescent="0.25">
      <c r="B678" s="38">
        <v>45913</v>
      </c>
      <c r="C678" s="37" t="s">
        <v>416</v>
      </c>
      <c r="D678">
        <v>10</v>
      </c>
      <c r="F678" s="37" t="s">
        <v>413</v>
      </c>
    </row>
    <row r="679" spans="2:6" x14ac:dyDescent="0.25">
      <c r="B679" s="38">
        <v>45913</v>
      </c>
      <c r="C679" s="37" t="s">
        <v>493</v>
      </c>
      <c r="D679">
        <v>30</v>
      </c>
      <c r="F679" s="37" t="s">
        <v>413</v>
      </c>
    </row>
    <row r="680" spans="2:6" x14ac:dyDescent="0.25">
      <c r="B680" s="38">
        <v>45915</v>
      </c>
      <c r="C680" s="37" t="s">
        <v>458</v>
      </c>
      <c r="E680">
        <v>5</v>
      </c>
      <c r="F680" s="37"/>
    </row>
    <row r="681" spans="2:6" x14ac:dyDescent="0.25">
      <c r="B681" s="38">
        <v>45915</v>
      </c>
      <c r="C681" s="37" t="s">
        <v>472</v>
      </c>
      <c r="E681">
        <v>5</v>
      </c>
      <c r="F681" s="37"/>
    </row>
    <row r="682" spans="2:6" x14ac:dyDescent="0.25">
      <c r="B682" s="38">
        <v>45915</v>
      </c>
      <c r="C682" s="37" t="s">
        <v>152</v>
      </c>
      <c r="E682">
        <v>8</v>
      </c>
      <c r="F682" s="37"/>
    </row>
    <row r="683" spans="2:6" x14ac:dyDescent="0.25">
      <c r="B683" s="38">
        <v>45915</v>
      </c>
      <c r="C683" s="37" t="s">
        <v>486</v>
      </c>
      <c r="D683">
        <v>2</v>
      </c>
      <c r="F683" s="37" t="s">
        <v>463</v>
      </c>
    </row>
    <row r="684" spans="2:6" x14ac:dyDescent="0.25">
      <c r="B684" s="38">
        <v>45915</v>
      </c>
      <c r="C684" s="37" t="s">
        <v>256</v>
      </c>
      <c r="D684">
        <v>20</v>
      </c>
      <c r="F684" s="37" t="s">
        <v>463</v>
      </c>
    </row>
    <row r="685" spans="2:6" x14ac:dyDescent="0.25">
      <c r="B685" s="38">
        <v>45915</v>
      </c>
      <c r="C685" s="37" t="s">
        <v>378</v>
      </c>
      <c r="D685">
        <v>10</v>
      </c>
      <c r="F685" s="37" t="s">
        <v>463</v>
      </c>
    </row>
    <row r="686" spans="2:6" x14ac:dyDescent="0.25">
      <c r="B686" s="38">
        <v>45915</v>
      </c>
      <c r="C686" s="37" t="s">
        <v>251</v>
      </c>
      <c r="D686">
        <v>100</v>
      </c>
      <c r="F686" s="37" t="s">
        <v>463</v>
      </c>
    </row>
    <row r="687" spans="2:6" x14ac:dyDescent="0.25">
      <c r="B687" s="38">
        <v>45915</v>
      </c>
      <c r="C687" s="37" t="s">
        <v>272</v>
      </c>
      <c r="D687">
        <v>10</v>
      </c>
      <c r="F687" s="37" t="s">
        <v>463</v>
      </c>
    </row>
    <row r="688" spans="2:6" x14ac:dyDescent="0.25">
      <c r="B688" s="38">
        <v>45915</v>
      </c>
      <c r="C688" s="37" t="s">
        <v>235</v>
      </c>
      <c r="D688">
        <v>10</v>
      </c>
      <c r="F688" s="37" t="s">
        <v>463</v>
      </c>
    </row>
    <row r="689" spans="2:6" x14ac:dyDescent="0.25">
      <c r="B689" s="38">
        <v>45915</v>
      </c>
      <c r="C689" s="37" t="s">
        <v>258</v>
      </c>
      <c r="D689">
        <v>20</v>
      </c>
      <c r="F689" s="37" t="s">
        <v>463</v>
      </c>
    </row>
    <row r="690" spans="2:6" x14ac:dyDescent="0.25">
      <c r="B690" s="38">
        <v>45916</v>
      </c>
      <c r="C690" s="37" t="s">
        <v>472</v>
      </c>
      <c r="E690">
        <v>10</v>
      </c>
      <c r="F690" s="37"/>
    </row>
    <row r="691" spans="2:6" x14ac:dyDescent="0.25">
      <c r="B691" s="38">
        <v>45916</v>
      </c>
      <c r="C691" s="37" t="s">
        <v>251</v>
      </c>
      <c r="E691">
        <v>10</v>
      </c>
      <c r="F691" s="37"/>
    </row>
    <row r="692" spans="2:6" x14ac:dyDescent="0.25">
      <c r="B692" s="38">
        <v>45916</v>
      </c>
      <c r="C692" s="37" t="s">
        <v>432</v>
      </c>
      <c r="E692">
        <v>2</v>
      </c>
      <c r="F692" s="37"/>
    </row>
    <row r="693" spans="2:6" x14ac:dyDescent="0.25">
      <c r="B693" s="38">
        <v>45916</v>
      </c>
      <c r="C693" s="37" t="s">
        <v>124</v>
      </c>
      <c r="E693">
        <v>6</v>
      </c>
      <c r="F693" s="37"/>
    </row>
    <row r="694" spans="2:6" x14ac:dyDescent="0.25">
      <c r="B694" s="38">
        <v>45916</v>
      </c>
      <c r="C694" s="37" t="s">
        <v>482</v>
      </c>
      <c r="E694">
        <v>6</v>
      </c>
      <c r="F694" s="37"/>
    </row>
    <row r="695" spans="2:6" x14ac:dyDescent="0.25">
      <c r="B695" s="38">
        <v>45916</v>
      </c>
      <c r="C695" s="37" t="s">
        <v>445</v>
      </c>
      <c r="E695">
        <v>4</v>
      </c>
      <c r="F695" s="37"/>
    </row>
    <row r="696" spans="2:6" x14ac:dyDescent="0.25">
      <c r="B696" s="38">
        <v>45916</v>
      </c>
      <c r="C696" s="37" t="s">
        <v>452</v>
      </c>
      <c r="E696">
        <v>5</v>
      </c>
      <c r="F696" s="37"/>
    </row>
    <row r="697" spans="2:6" x14ac:dyDescent="0.25">
      <c r="B697" s="38">
        <v>45916</v>
      </c>
      <c r="C697" s="37" t="s">
        <v>138</v>
      </c>
      <c r="E697">
        <v>10</v>
      </c>
      <c r="F697" s="37"/>
    </row>
    <row r="698" spans="2:6" x14ac:dyDescent="0.25">
      <c r="B698" s="38">
        <v>45916</v>
      </c>
      <c r="C698" s="37" t="s">
        <v>480</v>
      </c>
      <c r="E698">
        <v>5</v>
      </c>
      <c r="F698" s="37"/>
    </row>
    <row r="699" spans="2:6" x14ac:dyDescent="0.25">
      <c r="B699" s="38">
        <v>45916</v>
      </c>
      <c r="C699" s="37" t="s">
        <v>228</v>
      </c>
      <c r="E699">
        <v>10</v>
      </c>
      <c r="F699" s="37"/>
    </row>
    <row r="700" spans="2:6" x14ac:dyDescent="0.25">
      <c r="B700" s="38">
        <v>45916</v>
      </c>
      <c r="C700" s="37" t="s">
        <v>256</v>
      </c>
      <c r="E700">
        <v>2</v>
      </c>
      <c r="F700" s="37"/>
    </row>
    <row r="701" spans="2:6" x14ac:dyDescent="0.25">
      <c r="B701" s="38">
        <v>45916</v>
      </c>
      <c r="C701" s="37" t="s">
        <v>492</v>
      </c>
      <c r="E701">
        <v>5</v>
      </c>
      <c r="F701" s="37"/>
    </row>
    <row r="702" spans="2:6" x14ac:dyDescent="0.25">
      <c r="B702" s="38">
        <v>45916</v>
      </c>
      <c r="C702" s="37" t="s">
        <v>160</v>
      </c>
      <c r="E702">
        <v>2</v>
      </c>
      <c r="F702" s="37"/>
    </row>
    <row r="703" spans="2:6" x14ac:dyDescent="0.25">
      <c r="B703" s="38">
        <v>45917</v>
      </c>
      <c r="C703" s="37" t="s">
        <v>232</v>
      </c>
      <c r="D703">
        <v>10</v>
      </c>
      <c r="F703" s="37" t="s">
        <v>463</v>
      </c>
    </row>
    <row r="704" spans="2:6" x14ac:dyDescent="0.25">
      <c r="B704" s="38">
        <v>45917</v>
      </c>
      <c r="C704" s="37" t="s">
        <v>251</v>
      </c>
      <c r="E704">
        <v>20</v>
      </c>
      <c r="F704" s="37"/>
    </row>
    <row r="705" spans="2:6" x14ac:dyDescent="0.25">
      <c r="B705" s="38">
        <v>45917</v>
      </c>
      <c r="C705" s="37" t="s">
        <v>465</v>
      </c>
      <c r="E705">
        <v>7</v>
      </c>
      <c r="F705" s="37"/>
    </row>
    <row r="706" spans="2:6" x14ac:dyDescent="0.25">
      <c r="B706" s="38">
        <v>45917</v>
      </c>
      <c r="C706" s="37" t="s">
        <v>466</v>
      </c>
      <c r="E706">
        <v>6</v>
      </c>
      <c r="F706" s="37"/>
    </row>
    <row r="707" spans="2:6" x14ac:dyDescent="0.25">
      <c r="B707" s="38">
        <v>45917</v>
      </c>
      <c r="C707" s="37" t="s">
        <v>473</v>
      </c>
      <c r="E707">
        <v>6</v>
      </c>
      <c r="F707" s="37"/>
    </row>
    <row r="708" spans="2:6" x14ac:dyDescent="0.25">
      <c r="B708" s="38">
        <v>45917</v>
      </c>
      <c r="C708" s="37" t="s">
        <v>467</v>
      </c>
      <c r="E708">
        <v>6</v>
      </c>
      <c r="F708" s="37"/>
    </row>
    <row r="709" spans="2:6" x14ac:dyDescent="0.25">
      <c r="B709" s="38">
        <v>45917</v>
      </c>
      <c r="C709" s="37" t="s">
        <v>468</v>
      </c>
      <c r="E709">
        <v>7</v>
      </c>
      <c r="F709" s="37"/>
    </row>
    <row r="710" spans="2:6" x14ac:dyDescent="0.25">
      <c r="B710" s="38">
        <v>45917</v>
      </c>
      <c r="C710" s="37" t="s">
        <v>486</v>
      </c>
      <c r="E710">
        <v>1</v>
      </c>
      <c r="F710" s="37"/>
    </row>
    <row r="711" spans="2:6" x14ac:dyDescent="0.25">
      <c r="B711" s="38">
        <v>45918</v>
      </c>
      <c r="C711" s="37" t="s">
        <v>533</v>
      </c>
      <c r="E711">
        <v>5</v>
      </c>
      <c r="F711" s="37"/>
    </row>
    <row r="712" spans="2:6" x14ac:dyDescent="0.25">
      <c r="B712" s="38">
        <v>45918</v>
      </c>
      <c r="C712" s="37" t="s">
        <v>437</v>
      </c>
      <c r="E712">
        <v>3</v>
      </c>
      <c r="F712" s="37"/>
    </row>
    <row r="713" spans="2:6" x14ac:dyDescent="0.25">
      <c r="B713" s="38">
        <v>45918</v>
      </c>
      <c r="C713" s="37" t="s">
        <v>240</v>
      </c>
      <c r="E713">
        <v>3</v>
      </c>
      <c r="F713" s="37"/>
    </row>
    <row r="714" spans="2:6" x14ac:dyDescent="0.25">
      <c r="B714" s="38">
        <v>45918</v>
      </c>
      <c r="C714" s="37" t="s">
        <v>416</v>
      </c>
      <c r="E714">
        <v>2</v>
      </c>
      <c r="F714" s="37"/>
    </row>
    <row r="715" spans="2:6" x14ac:dyDescent="0.25">
      <c r="B715" s="38">
        <v>45918</v>
      </c>
      <c r="C715" s="37" t="s">
        <v>230</v>
      </c>
      <c r="E715">
        <v>2</v>
      </c>
      <c r="F715" s="37"/>
    </row>
    <row r="716" spans="2:6" x14ac:dyDescent="0.25">
      <c r="B716" s="38">
        <v>45918</v>
      </c>
      <c r="C716" s="37" t="s">
        <v>346</v>
      </c>
      <c r="E716">
        <v>5</v>
      </c>
      <c r="F716" s="37"/>
    </row>
    <row r="717" spans="2:6" x14ac:dyDescent="0.25">
      <c r="B717" s="38">
        <v>45918</v>
      </c>
      <c r="C717" s="37" t="s">
        <v>245</v>
      </c>
      <c r="E717">
        <v>2</v>
      </c>
      <c r="F717" s="37"/>
    </row>
    <row r="718" spans="2:6" x14ac:dyDescent="0.25">
      <c r="B718" s="38">
        <v>45918</v>
      </c>
      <c r="C718" s="37" t="s">
        <v>472</v>
      </c>
      <c r="E718">
        <v>5</v>
      </c>
      <c r="F718" s="37"/>
    </row>
    <row r="719" spans="2:6" x14ac:dyDescent="0.25">
      <c r="B719" s="38">
        <v>45918</v>
      </c>
      <c r="C719" s="37" t="s">
        <v>491</v>
      </c>
      <c r="E719">
        <v>5</v>
      </c>
      <c r="F719" s="37"/>
    </row>
    <row r="720" spans="2:6" x14ac:dyDescent="0.25">
      <c r="B720" s="38">
        <v>45918</v>
      </c>
      <c r="C720" s="37" t="s">
        <v>208</v>
      </c>
      <c r="E720">
        <v>1</v>
      </c>
      <c r="F720" s="37"/>
    </row>
    <row r="721" spans="2:6" x14ac:dyDescent="0.25">
      <c r="B721" s="38">
        <v>45918</v>
      </c>
      <c r="C721" s="37" t="s">
        <v>429</v>
      </c>
      <c r="E721">
        <v>10</v>
      </c>
      <c r="F721" s="37"/>
    </row>
    <row r="722" spans="2:6" x14ac:dyDescent="0.25">
      <c r="B722" s="38">
        <v>45918</v>
      </c>
      <c r="C722" s="37" t="s">
        <v>419</v>
      </c>
      <c r="E722">
        <v>8</v>
      </c>
      <c r="F722" s="37"/>
    </row>
    <row r="723" spans="2:6" x14ac:dyDescent="0.25">
      <c r="B723" s="38">
        <v>45918</v>
      </c>
      <c r="C723" s="37" t="s">
        <v>251</v>
      </c>
      <c r="E723">
        <v>10</v>
      </c>
      <c r="F723" s="37"/>
    </row>
    <row r="724" spans="2:6" x14ac:dyDescent="0.25">
      <c r="B724" s="38">
        <v>45918</v>
      </c>
      <c r="C724" s="37" t="s">
        <v>171</v>
      </c>
      <c r="E724">
        <v>2</v>
      </c>
      <c r="F724" s="37"/>
    </row>
    <row r="725" spans="2:6" x14ac:dyDescent="0.25">
      <c r="B725" s="38">
        <v>45918</v>
      </c>
      <c r="C725" s="37" t="s">
        <v>432</v>
      </c>
      <c r="E725">
        <v>2</v>
      </c>
      <c r="F725" s="37"/>
    </row>
    <row r="726" spans="2:6" x14ac:dyDescent="0.25">
      <c r="B726" s="38">
        <v>45918</v>
      </c>
      <c r="C726" s="37" t="s">
        <v>253</v>
      </c>
      <c r="E726">
        <v>5</v>
      </c>
      <c r="F726" s="37"/>
    </row>
    <row r="727" spans="2:6" x14ac:dyDescent="0.25">
      <c r="B727" s="38">
        <v>45918</v>
      </c>
      <c r="C727" s="37" t="s">
        <v>443</v>
      </c>
      <c r="E727">
        <v>3</v>
      </c>
      <c r="F727" s="37"/>
    </row>
    <row r="728" spans="2:6" x14ac:dyDescent="0.25">
      <c r="B728" s="38">
        <v>45918</v>
      </c>
      <c r="C728" s="37" t="s">
        <v>445</v>
      </c>
      <c r="E728">
        <v>3</v>
      </c>
      <c r="F728" s="37"/>
    </row>
    <row r="729" spans="2:6" x14ac:dyDescent="0.25">
      <c r="B729" s="38">
        <v>45918</v>
      </c>
      <c r="C729" s="37" t="s">
        <v>261</v>
      </c>
      <c r="E729">
        <v>6</v>
      </c>
      <c r="F729" s="37"/>
    </row>
    <row r="730" spans="2:6" x14ac:dyDescent="0.25">
      <c r="B730" s="38">
        <v>45918</v>
      </c>
      <c r="C730" s="37" t="s">
        <v>221</v>
      </c>
      <c r="E730">
        <v>5</v>
      </c>
      <c r="F730" s="37"/>
    </row>
    <row r="731" spans="2:6" x14ac:dyDescent="0.25">
      <c r="B731" s="38">
        <v>45918</v>
      </c>
      <c r="C731" s="37" t="s">
        <v>285</v>
      </c>
      <c r="E731">
        <v>2</v>
      </c>
      <c r="F731" s="37"/>
    </row>
    <row r="732" spans="2:6" x14ac:dyDescent="0.25">
      <c r="B732" s="38">
        <v>45918</v>
      </c>
      <c r="C732" s="37" t="s">
        <v>291</v>
      </c>
      <c r="E732">
        <v>1</v>
      </c>
      <c r="F732" s="37"/>
    </row>
    <row r="733" spans="2:6" x14ac:dyDescent="0.25">
      <c r="B733" s="38">
        <v>45918</v>
      </c>
      <c r="C733" s="37" t="s">
        <v>167</v>
      </c>
      <c r="E733">
        <v>2</v>
      </c>
      <c r="F733" s="37"/>
    </row>
    <row r="734" spans="2:6" x14ac:dyDescent="0.25">
      <c r="B734" s="38">
        <v>45918</v>
      </c>
      <c r="C734" s="37" t="s">
        <v>140</v>
      </c>
      <c r="E734">
        <v>6</v>
      </c>
      <c r="F734" s="37"/>
    </row>
    <row r="735" spans="2:6" x14ac:dyDescent="0.25">
      <c r="B735" s="38">
        <v>45920</v>
      </c>
      <c r="C735" s="37" t="s">
        <v>277</v>
      </c>
      <c r="E735">
        <v>3</v>
      </c>
      <c r="F735" s="37"/>
    </row>
    <row r="736" spans="2:6" x14ac:dyDescent="0.25">
      <c r="B736" s="38">
        <v>45920</v>
      </c>
      <c r="C736" s="37" t="s">
        <v>493</v>
      </c>
      <c r="E736">
        <v>3</v>
      </c>
      <c r="F736" s="37"/>
    </row>
    <row r="737" spans="2:6" x14ac:dyDescent="0.25">
      <c r="B737" s="38">
        <v>45920</v>
      </c>
      <c r="C737" s="37" t="s">
        <v>152</v>
      </c>
      <c r="E737">
        <v>10</v>
      </c>
      <c r="F737" s="37"/>
    </row>
    <row r="738" spans="2:6" x14ac:dyDescent="0.25">
      <c r="B738" s="38">
        <v>45920</v>
      </c>
      <c r="C738" s="37" t="s">
        <v>421</v>
      </c>
      <c r="E738">
        <v>6</v>
      </c>
      <c r="F738" s="37"/>
    </row>
    <row r="739" spans="2:6" x14ac:dyDescent="0.25">
      <c r="B739" s="38">
        <v>45920</v>
      </c>
      <c r="C739" s="37" t="s">
        <v>397</v>
      </c>
      <c r="E739">
        <v>6</v>
      </c>
      <c r="F739" s="37"/>
    </row>
    <row r="740" spans="2:6" x14ac:dyDescent="0.25">
      <c r="B740" s="38">
        <v>45920</v>
      </c>
      <c r="C740" s="37" t="s">
        <v>144</v>
      </c>
      <c r="E740">
        <v>6</v>
      </c>
      <c r="F740" s="37"/>
    </row>
    <row r="741" spans="2:6" x14ac:dyDescent="0.25">
      <c r="B741" s="38">
        <v>45920</v>
      </c>
      <c r="C741" s="37" t="s">
        <v>143</v>
      </c>
      <c r="E741">
        <v>6</v>
      </c>
      <c r="F741" s="37"/>
    </row>
    <row r="742" spans="2:6" x14ac:dyDescent="0.25">
      <c r="B742" s="38">
        <v>45920</v>
      </c>
      <c r="C742" s="37" t="s">
        <v>438</v>
      </c>
      <c r="E742">
        <v>4</v>
      </c>
      <c r="F742" s="37"/>
    </row>
    <row r="743" spans="2:6" x14ac:dyDescent="0.25">
      <c r="B743" s="38">
        <v>45920</v>
      </c>
      <c r="C743" s="37" t="s">
        <v>471</v>
      </c>
      <c r="E743">
        <v>5</v>
      </c>
      <c r="F743" s="37"/>
    </row>
    <row r="744" spans="2:6" x14ac:dyDescent="0.25">
      <c r="B744" s="38">
        <v>45920</v>
      </c>
      <c r="C744" s="37" t="s">
        <v>470</v>
      </c>
      <c r="E744">
        <v>6</v>
      </c>
      <c r="F744" s="37"/>
    </row>
    <row r="745" spans="2:6" x14ac:dyDescent="0.25">
      <c r="B745" s="38">
        <v>45920</v>
      </c>
      <c r="C745" s="37" t="s">
        <v>432</v>
      </c>
      <c r="E745">
        <v>2</v>
      </c>
      <c r="F745" s="37"/>
    </row>
    <row r="746" spans="2:6" x14ac:dyDescent="0.25">
      <c r="B746" s="38">
        <v>45920</v>
      </c>
      <c r="C746" s="37" t="s">
        <v>256</v>
      </c>
      <c r="E746">
        <v>2</v>
      </c>
      <c r="F746" s="37"/>
    </row>
    <row r="747" spans="2:6" x14ac:dyDescent="0.25">
      <c r="B747" s="38">
        <v>45920</v>
      </c>
      <c r="C747" s="37" t="s">
        <v>122</v>
      </c>
      <c r="E747">
        <v>1</v>
      </c>
      <c r="F747" s="37"/>
    </row>
    <row r="748" spans="2:6" x14ac:dyDescent="0.25">
      <c r="B748" s="38">
        <v>45920</v>
      </c>
      <c r="C748" s="37" t="s">
        <v>123</v>
      </c>
      <c r="E748">
        <v>1</v>
      </c>
      <c r="F748" s="37"/>
    </row>
    <row r="749" spans="2:6" x14ac:dyDescent="0.25">
      <c r="B749" s="38">
        <v>45920</v>
      </c>
      <c r="C749" s="37" t="s">
        <v>411</v>
      </c>
      <c r="E749">
        <v>4</v>
      </c>
      <c r="F749" s="37"/>
    </row>
    <row r="750" spans="2:6" x14ac:dyDescent="0.25">
      <c r="B750" s="38">
        <v>45922</v>
      </c>
      <c r="C750" s="37" t="s">
        <v>472</v>
      </c>
      <c r="E750">
        <v>5</v>
      </c>
      <c r="F750" s="37"/>
    </row>
    <row r="751" spans="2:6" x14ac:dyDescent="0.25">
      <c r="B751" s="38">
        <v>45922</v>
      </c>
      <c r="C751" s="37" t="s">
        <v>491</v>
      </c>
      <c r="E751">
        <v>5</v>
      </c>
      <c r="F751" s="37"/>
    </row>
    <row r="752" spans="2:6" x14ac:dyDescent="0.25">
      <c r="B752" s="38">
        <v>45922</v>
      </c>
      <c r="C752" s="37" t="s">
        <v>152</v>
      </c>
      <c r="E752">
        <v>4</v>
      </c>
      <c r="F752" s="37"/>
    </row>
    <row r="753" spans="2:6" x14ac:dyDescent="0.25">
      <c r="B753" s="38">
        <v>45922</v>
      </c>
      <c r="C753" s="37" t="s">
        <v>251</v>
      </c>
      <c r="E753">
        <v>10</v>
      </c>
      <c r="F753" s="37"/>
    </row>
    <row r="754" spans="2:6" x14ac:dyDescent="0.25">
      <c r="B754" s="38">
        <v>45922</v>
      </c>
      <c r="C754" s="37" t="s">
        <v>445</v>
      </c>
      <c r="E754">
        <v>3</v>
      </c>
      <c r="F754" s="37"/>
    </row>
    <row r="755" spans="2:6" x14ac:dyDescent="0.25">
      <c r="B755" s="38">
        <v>45922</v>
      </c>
      <c r="C755" s="37" t="s">
        <v>480</v>
      </c>
      <c r="E755">
        <v>3</v>
      </c>
      <c r="F755" s="37"/>
    </row>
    <row r="756" spans="2:6" x14ac:dyDescent="0.25">
      <c r="B756" s="38">
        <v>45922</v>
      </c>
      <c r="C756" s="37" t="s">
        <v>437</v>
      </c>
      <c r="E756">
        <v>4</v>
      </c>
      <c r="F756" s="37"/>
    </row>
    <row r="757" spans="2:6" x14ac:dyDescent="0.25">
      <c r="B757" s="38">
        <v>45922</v>
      </c>
      <c r="C757" s="37" t="s">
        <v>206</v>
      </c>
      <c r="E757">
        <v>4</v>
      </c>
      <c r="F757" s="37"/>
    </row>
    <row r="758" spans="2:6" x14ac:dyDescent="0.25">
      <c r="B758" s="38">
        <v>45922</v>
      </c>
      <c r="C758" s="37" t="s">
        <v>291</v>
      </c>
      <c r="E758">
        <v>1</v>
      </c>
      <c r="F758" s="37"/>
    </row>
    <row r="759" spans="2:6" x14ac:dyDescent="0.25">
      <c r="B759" s="38">
        <v>45924</v>
      </c>
      <c r="C759" s="37" t="s">
        <v>443</v>
      </c>
      <c r="E759">
        <v>3</v>
      </c>
      <c r="F759" s="37"/>
    </row>
    <row r="760" spans="2:6" x14ac:dyDescent="0.25">
      <c r="B760" s="38">
        <v>45924</v>
      </c>
      <c r="C760" s="37" t="s">
        <v>445</v>
      </c>
      <c r="E760">
        <v>3</v>
      </c>
      <c r="F760" s="37"/>
    </row>
    <row r="761" spans="2:6" x14ac:dyDescent="0.25">
      <c r="B761" s="38">
        <v>45924</v>
      </c>
      <c r="C761" s="37" t="s">
        <v>145</v>
      </c>
      <c r="E761">
        <v>3</v>
      </c>
      <c r="F761" s="37"/>
    </row>
    <row r="762" spans="2:6" x14ac:dyDescent="0.25">
      <c r="B762" s="38">
        <v>45924</v>
      </c>
      <c r="C762" s="37" t="s">
        <v>231</v>
      </c>
      <c r="E762">
        <v>6</v>
      </c>
      <c r="F762" s="37"/>
    </row>
    <row r="763" spans="2:6" x14ac:dyDescent="0.25">
      <c r="B763" s="38">
        <v>45924</v>
      </c>
      <c r="C763" s="37" t="s">
        <v>493</v>
      </c>
      <c r="E763">
        <v>2</v>
      </c>
      <c r="F763" s="37"/>
    </row>
    <row r="764" spans="2:6" x14ac:dyDescent="0.25">
      <c r="B764" s="38">
        <v>45924</v>
      </c>
      <c r="C764" s="37" t="s">
        <v>251</v>
      </c>
      <c r="E764">
        <v>20</v>
      </c>
      <c r="F764" s="37"/>
    </row>
    <row r="765" spans="2:6" x14ac:dyDescent="0.25">
      <c r="B765" s="38">
        <v>45924</v>
      </c>
      <c r="C765" s="37" t="s">
        <v>171</v>
      </c>
      <c r="E765">
        <v>5</v>
      </c>
      <c r="F765" s="37"/>
    </row>
    <row r="766" spans="2:6" x14ac:dyDescent="0.25">
      <c r="B766" s="38">
        <v>45924</v>
      </c>
      <c r="C766" s="37" t="s">
        <v>465</v>
      </c>
      <c r="E766">
        <v>2</v>
      </c>
      <c r="F766" s="37"/>
    </row>
    <row r="767" spans="2:6" x14ac:dyDescent="0.25">
      <c r="B767" s="38">
        <v>45924</v>
      </c>
      <c r="C767" s="37" t="s">
        <v>468</v>
      </c>
      <c r="E767">
        <v>2</v>
      </c>
      <c r="F767" s="37"/>
    </row>
    <row r="768" spans="2:6" x14ac:dyDescent="0.25">
      <c r="B768" s="38">
        <v>45924</v>
      </c>
      <c r="C768" s="37" t="s">
        <v>421</v>
      </c>
      <c r="E768">
        <v>5</v>
      </c>
      <c r="F768" s="37"/>
    </row>
    <row r="769" spans="2:6" x14ac:dyDescent="0.25">
      <c r="B769" s="38">
        <v>45924</v>
      </c>
      <c r="C769" s="37" t="s">
        <v>138</v>
      </c>
      <c r="E769">
        <v>5</v>
      </c>
      <c r="F769" s="37"/>
    </row>
    <row r="770" spans="2:6" x14ac:dyDescent="0.25">
      <c r="B770" s="38">
        <v>45924</v>
      </c>
      <c r="C770" s="37" t="s">
        <v>183</v>
      </c>
      <c r="E770">
        <v>1</v>
      </c>
      <c r="F770" s="37"/>
    </row>
    <row r="771" spans="2:6" x14ac:dyDescent="0.25">
      <c r="B771" s="38">
        <v>45924</v>
      </c>
      <c r="C771" s="37" t="s">
        <v>186</v>
      </c>
      <c r="E771">
        <v>1</v>
      </c>
      <c r="F771" s="37"/>
    </row>
    <row r="772" spans="2:6" x14ac:dyDescent="0.25">
      <c r="B772" s="38">
        <v>45925</v>
      </c>
      <c r="C772" s="37" t="s">
        <v>186</v>
      </c>
      <c r="E772">
        <v>2</v>
      </c>
      <c r="F772" s="37"/>
    </row>
    <row r="773" spans="2:6" x14ac:dyDescent="0.25">
      <c r="B773" s="38">
        <v>45925</v>
      </c>
      <c r="C773" s="37" t="s">
        <v>184</v>
      </c>
      <c r="E773">
        <v>2</v>
      </c>
      <c r="F773" s="37"/>
    </row>
    <row r="774" spans="2:6" x14ac:dyDescent="0.25">
      <c r="B774" s="38">
        <v>45925</v>
      </c>
      <c r="C774" s="37" t="s">
        <v>183</v>
      </c>
      <c r="E774">
        <v>2</v>
      </c>
      <c r="F774" s="37"/>
    </row>
    <row r="775" spans="2:6" x14ac:dyDescent="0.25">
      <c r="B775" s="38">
        <v>45925</v>
      </c>
      <c r="C775" s="37" t="s">
        <v>529</v>
      </c>
      <c r="E775">
        <v>3</v>
      </c>
      <c r="F775" s="37"/>
    </row>
    <row r="776" spans="2:6" x14ac:dyDescent="0.25">
      <c r="B776" s="38">
        <v>45925</v>
      </c>
      <c r="C776" s="37" t="s">
        <v>194</v>
      </c>
      <c r="E776">
        <v>2</v>
      </c>
      <c r="F776" s="37"/>
    </row>
    <row r="777" spans="2:6" x14ac:dyDescent="0.25">
      <c r="B777" s="38">
        <v>45925</v>
      </c>
      <c r="C777" s="37" t="s">
        <v>221</v>
      </c>
      <c r="E777">
        <v>5</v>
      </c>
      <c r="F777" s="37"/>
    </row>
    <row r="778" spans="2:6" x14ac:dyDescent="0.25">
      <c r="B778" s="38">
        <v>45925</v>
      </c>
      <c r="C778" s="37" t="s">
        <v>145</v>
      </c>
      <c r="E778">
        <v>10</v>
      </c>
      <c r="F778" s="37"/>
    </row>
    <row r="779" spans="2:6" x14ac:dyDescent="0.25">
      <c r="B779" s="38">
        <v>45925</v>
      </c>
      <c r="C779" s="37" t="s">
        <v>250</v>
      </c>
      <c r="E779">
        <v>20</v>
      </c>
      <c r="F779" s="37"/>
    </row>
    <row r="780" spans="2:6" x14ac:dyDescent="0.25">
      <c r="B780" s="38">
        <v>45926</v>
      </c>
      <c r="C780" s="37" t="s">
        <v>251</v>
      </c>
      <c r="E780">
        <v>10</v>
      </c>
      <c r="F780" s="37"/>
    </row>
    <row r="781" spans="2:6" x14ac:dyDescent="0.25">
      <c r="B781" s="38">
        <v>45926</v>
      </c>
      <c r="C781" s="37" t="s">
        <v>445</v>
      </c>
      <c r="E781">
        <v>3</v>
      </c>
      <c r="F781" s="37"/>
    </row>
    <row r="782" spans="2:6" x14ac:dyDescent="0.25">
      <c r="B782" s="38">
        <v>45926</v>
      </c>
      <c r="C782" s="37" t="s">
        <v>443</v>
      </c>
      <c r="E782">
        <v>3</v>
      </c>
      <c r="F782" s="37"/>
    </row>
    <row r="783" spans="2:6" x14ac:dyDescent="0.25">
      <c r="B783" s="38">
        <v>45926</v>
      </c>
      <c r="C783" s="37" t="s">
        <v>493</v>
      </c>
      <c r="E783">
        <v>5</v>
      </c>
      <c r="F783" s="37"/>
    </row>
    <row r="784" spans="2:6" x14ac:dyDescent="0.25">
      <c r="B784" s="38">
        <v>45926</v>
      </c>
      <c r="C784" s="37" t="s">
        <v>471</v>
      </c>
      <c r="E784">
        <v>5</v>
      </c>
      <c r="F784" s="37"/>
    </row>
    <row r="785" spans="2:6" x14ac:dyDescent="0.25">
      <c r="B785" s="38">
        <v>45926</v>
      </c>
      <c r="C785" s="37" t="s">
        <v>480</v>
      </c>
      <c r="E785">
        <v>5</v>
      </c>
      <c r="F785" s="37"/>
    </row>
    <row r="786" spans="2:6" x14ac:dyDescent="0.25">
      <c r="B786" s="38">
        <v>45926</v>
      </c>
      <c r="C786" s="37" t="s">
        <v>432</v>
      </c>
      <c r="E786">
        <v>2</v>
      </c>
      <c r="F786" s="37"/>
    </row>
    <row r="787" spans="2:6" x14ac:dyDescent="0.25">
      <c r="B787" s="38">
        <v>45926</v>
      </c>
      <c r="C787" s="37" t="s">
        <v>279</v>
      </c>
      <c r="E787">
        <v>1</v>
      </c>
      <c r="F787" s="37"/>
    </row>
    <row r="788" spans="2:6" x14ac:dyDescent="0.25">
      <c r="B788" s="38">
        <v>45926</v>
      </c>
      <c r="C788" s="37" t="s">
        <v>289</v>
      </c>
      <c r="E788">
        <v>1</v>
      </c>
      <c r="F788" s="37"/>
    </row>
    <row r="789" spans="2:6" x14ac:dyDescent="0.25">
      <c r="B789" s="38">
        <v>45926</v>
      </c>
      <c r="C789" s="37" t="s">
        <v>285</v>
      </c>
      <c r="E789">
        <v>2</v>
      </c>
      <c r="F789" s="37"/>
    </row>
    <row r="790" spans="2:6" x14ac:dyDescent="0.25">
      <c r="B790" s="38">
        <v>45926</v>
      </c>
      <c r="C790" s="37" t="s">
        <v>208</v>
      </c>
      <c r="E790">
        <v>1</v>
      </c>
      <c r="F790" s="37"/>
    </row>
    <row r="791" spans="2:6" x14ac:dyDescent="0.25">
      <c r="B791" s="38">
        <v>45926</v>
      </c>
      <c r="C791" s="37" t="s">
        <v>234</v>
      </c>
      <c r="E791">
        <v>2</v>
      </c>
      <c r="F791" s="37"/>
    </row>
    <row r="792" spans="2:6" x14ac:dyDescent="0.25">
      <c r="B792" s="38">
        <v>45926</v>
      </c>
      <c r="C792" s="37" t="s">
        <v>235</v>
      </c>
      <c r="E792">
        <v>2</v>
      </c>
      <c r="F792" s="37"/>
    </row>
    <row r="793" spans="2:6" x14ac:dyDescent="0.25">
      <c r="B793" s="38">
        <v>45926</v>
      </c>
      <c r="C793" s="37" t="s">
        <v>419</v>
      </c>
      <c r="E793">
        <v>6</v>
      </c>
      <c r="F793" s="37"/>
    </row>
    <row r="794" spans="2:6" x14ac:dyDescent="0.25">
      <c r="B794" s="38">
        <v>45926</v>
      </c>
      <c r="C794" s="37" t="s">
        <v>142</v>
      </c>
      <c r="E794">
        <v>6</v>
      </c>
      <c r="F794" s="37"/>
    </row>
    <row r="795" spans="2:6" x14ac:dyDescent="0.25">
      <c r="B795" s="38">
        <v>45926</v>
      </c>
      <c r="C795" s="37" t="s">
        <v>378</v>
      </c>
      <c r="E795">
        <v>2</v>
      </c>
      <c r="F795" s="37"/>
    </row>
    <row r="796" spans="2:6" x14ac:dyDescent="0.25">
      <c r="B796" s="38">
        <v>45926</v>
      </c>
      <c r="C796" s="37" t="s">
        <v>494</v>
      </c>
      <c r="E796">
        <v>2</v>
      </c>
      <c r="F796" s="37"/>
    </row>
    <row r="797" spans="2:6" x14ac:dyDescent="0.25">
      <c r="B797" s="38">
        <v>45926</v>
      </c>
      <c r="C797" s="37" t="s">
        <v>491</v>
      </c>
      <c r="E797">
        <v>5</v>
      </c>
      <c r="F797" s="37"/>
    </row>
    <row r="798" spans="2:6" x14ac:dyDescent="0.25">
      <c r="B798" s="38">
        <v>45926</v>
      </c>
      <c r="C798" s="37" t="s">
        <v>492</v>
      </c>
      <c r="E798">
        <v>5</v>
      </c>
      <c r="F798" s="37"/>
    </row>
    <row r="799" spans="2:6" x14ac:dyDescent="0.25">
      <c r="B799" s="38">
        <v>45926</v>
      </c>
      <c r="C799" s="37" t="s">
        <v>160</v>
      </c>
      <c r="E799">
        <v>1</v>
      </c>
      <c r="F799" s="37"/>
    </row>
    <row r="800" spans="2:6" x14ac:dyDescent="0.25">
      <c r="B800" s="38">
        <v>45926</v>
      </c>
      <c r="C800" s="37" t="s">
        <v>243</v>
      </c>
      <c r="E800">
        <v>14</v>
      </c>
      <c r="F800" s="37" t="s">
        <v>495</v>
      </c>
    </row>
    <row r="801" spans="2:6" x14ac:dyDescent="0.25">
      <c r="B801" s="38">
        <v>45927</v>
      </c>
      <c r="C801" s="37" t="s">
        <v>465</v>
      </c>
      <c r="D801">
        <v>20</v>
      </c>
      <c r="F801" s="37" t="s">
        <v>413</v>
      </c>
    </row>
    <row r="802" spans="2:6" x14ac:dyDescent="0.25">
      <c r="B802" s="38">
        <v>45927</v>
      </c>
      <c r="C802" s="37" t="s">
        <v>466</v>
      </c>
      <c r="D802">
        <v>20</v>
      </c>
      <c r="F802" s="37" t="s">
        <v>413</v>
      </c>
    </row>
    <row r="803" spans="2:6" x14ac:dyDescent="0.25">
      <c r="B803" s="38">
        <v>45927</v>
      </c>
      <c r="C803" s="37" t="s">
        <v>491</v>
      </c>
      <c r="D803">
        <v>20</v>
      </c>
      <c r="F803" s="37" t="s">
        <v>413</v>
      </c>
    </row>
    <row r="804" spans="2:6" x14ac:dyDescent="0.25">
      <c r="B804" s="38">
        <v>45927</v>
      </c>
      <c r="C804" s="37" t="s">
        <v>472</v>
      </c>
      <c r="D804">
        <v>30</v>
      </c>
      <c r="F804" s="37" t="s">
        <v>413</v>
      </c>
    </row>
    <row r="805" spans="2:6" x14ac:dyDescent="0.25">
      <c r="B805" s="38">
        <v>45927</v>
      </c>
      <c r="C805" s="37" t="s">
        <v>471</v>
      </c>
      <c r="D805">
        <v>20</v>
      </c>
      <c r="F805" s="37" t="s">
        <v>413</v>
      </c>
    </row>
    <row r="806" spans="2:6" x14ac:dyDescent="0.25">
      <c r="B806" s="38">
        <v>45927</v>
      </c>
      <c r="C806" s="37" t="s">
        <v>473</v>
      </c>
      <c r="D806">
        <v>20</v>
      </c>
      <c r="F806" s="37" t="s">
        <v>413</v>
      </c>
    </row>
    <row r="807" spans="2:6" x14ac:dyDescent="0.25">
      <c r="B807" s="38">
        <v>45927</v>
      </c>
      <c r="C807" s="37" t="s">
        <v>468</v>
      </c>
      <c r="D807">
        <v>22</v>
      </c>
      <c r="F807" s="37" t="s">
        <v>413</v>
      </c>
    </row>
    <row r="808" spans="2:6" x14ac:dyDescent="0.25">
      <c r="B808" s="38">
        <v>45927</v>
      </c>
      <c r="C808" s="37" t="s">
        <v>467</v>
      </c>
      <c r="D808">
        <v>22</v>
      </c>
      <c r="F808" s="37" t="s">
        <v>413</v>
      </c>
    </row>
    <row r="809" spans="2:6" x14ac:dyDescent="0.25">
      <c r="B809" s="38">
        <v>45927</v>
      </c>
      <c r="C809" s="37" t="s">
        <v>496</v>
      </c>
      <c r="D809">
        <v>22</v>
      </c>
      <c r="F809" s="37" t="s">
        <v>413</v>
      </c>
    </row>
    <row r="810" spans="2:6" x14ac:dyDescent="0.25">
      <c r="B810" s="38">
        <v>45929</v>
      </c>
      <c r="C810" s="37" t="s">
        <v>445</v>
      </c>
      <c r="E810">
        <v>3</v>
      </c>
      <c r="F810" s="37"/>
    </row>
    <row r="811" spans="2:6" x14ac:dyDescent="0.25">
      <c r="B811" s="38">
        <v>45929</v>
      </c>
      <c r="C811" s="37" t="s">
        <v>443</v>
      </c>
      <c r="E811">
        <v>3</v>
      </c>
      <c r="F811" s="37"/>
    </row>
    <row r="812" spans="2:6" x14ac:dyDescent="0.25">
      <c r="B812" s="38">
        <v>45929</v>
      </c>
      <c r="C812" s="37" t="s">
        <v>124</v>
      </c>
      <c r="E812">
        <v>6</v>
      </c>
      <c r="F812" s="37"/>
    </row>
    <row r="813" spans="2:6" x14ac:dyDescent="0.25">
      <c r="B813" s="38">
        <v>45929</v>
      </c>
      <c r="C813" s="37" t="s">
        <v>236</v>
      </c>
      <c r="E813">
        <v>6</v>
      </c>
      <c r="F813" s="37"/>
    </row>
    <row r="814" spans="2:6" x14ac:dyDescent="0.25">
      <c r="B814" s="38">
        <v>45929</v>
      </c>
      <c r="C814" s="37" t="s">
        <v>223</v>
      </c>
      <c r="E814">
        <v>10</v>
      </c>
      <c r="F814" s="37"/>
    </row>
    <row r="815" spans="2:6" x14ac:dyDescent="0.25">
      <c r="B815" s="38">
        <v>45929</v>
      </c>
      <c r="C815" s="37" t="s">
        <v>171</v>
      </c>
      <c r="E815">
        <v>1</v>
      </c>
      <c r="F815" s="37"/>
    </row>
    <row r="816" spans="2:6" x14ac:dyDescent="0.25">
      <c r="B816" s="38">
        <v>45929</v>
      </c>
      <c r="C816" s="37" t="s">
        <v>211</v>
      </c>
      <c r="E816">
        <v>5</v>
      </c>
      <c r="F816" s="37"/>
    </row>
    <row r="817" spans="2:6" x14ac:dyDescent="0.25">
      <c r="B817" s="38">
        <v>45929</v>
      </c>
      <c r="C817" s="37" t="s">
        <v>251</v>
      </c>
      <c r="E817">
        <v>10</v>
      </c>
      <c r="F817" s="37"/>
    </row>
    <row r="818" spans="2:6" x14ac:dyDescent="0.25">
      <c r="B818" s="38">
        <v>45929</v>
      </c>
      <c r="C818" s="37" t="s">
        <v>472</v>
      </c>
      <c r="E818">
        <v>5</v>
      </c>
      <c r="F818" s="37"/>
    </row>
    <row r="819" spans="2:6" x14ac:dyDescent="0.25">
      <c r="B819" s="38">
        <v>45929</v>
      </c>
      <c r="C819" s="37" t="s">
        <v>496</v>
      </c>
      <c r="E819">
        <v>2</v>
      </c>
      <c r="F819" s="37"/>
    </row>
    <row r="820" spans="2:6" x14ac:dyDescent="0.25">
      <c r="B820" s="38">
        <v>45929</v>
      </c>
      <c r="C820" s="37" t="s">
        <v>258</v>
      </c>
      <c r="E820">
        <v>5</v>
      </c>
      <c r="F820" s="37"/>
    </row>
    <row r="821" spans="2:6" x14ac:dyDescent="0.25">
      <c r="B821" s="38">
        <v>45930</v>
      </c>
      <c r="C821" s="37" t="s">
        <v>270</v>
      </c>
      <c r="E821">
        <v>7</v>
      </c>
      <c r="F821" s="37"/>
    </row>
    <row r="822" spans="2:6" x14ac:dyDescent="0.25">
      <c r="B822" s="38">
        <v>45930</v>
      </c>
      <c r="C822" s="37" t="s">
        <v>240</v>
      </c>
      <c r="E822">
        <v>3</v>
      </c>
      <c r="F822" s="37"/>
    </row>
    <row r="823" spans="2:6" x14ac:dyDescent="0.25">
      <c r="B823" s="38">
        <v>45930</v>
      </c>
      <c r="C823" s="37" t="s">
        <v>434</v>
      </c>
      <c r="E823">
        <v>5</v>
      </c>
      <c r="F823" s="37"/>
    </row>
    <row r="824" spans="2:6" x14ac:dyDescent="0.25">
      <c r="B824" s="38">
        <v>45930</v>
      </c>
      <c r="C824" s="37" t="s">
        <v>445</v>
      </c>
      <c r="E824">
        <v>3</v>
      </c>
      <c r="F824" s="37"/>
    </row>
    <row r="825" spans="2:6" x14ac:dyDescent="0.25">
      <c r="B825" s="38">
        <v>45930</v>
      </c>
      <c r="C825" s="37" t="s">
        <v>264</v>
      </c>
      <c r="E825">
        <v>5</v>
      </c>
      <c r="F825" s="37"/>
    </row>
    <row r="826" spans="2:6" x14ac:dyDescent="0.25">
      <c r="B826" s="38">
        <v>45930</v>
      </c>
      <c r="C826" s="37" t="s">
        <v>275</v>
      </c>
      <c r="E826">
        <v>5</v>
      </c>
      <c r="F826" s="37"/>
    </row>
    <row r="827" spans="2:6" x14ac:dyDescent="0.25">
      <c r="B827" s="38">
        <v>45930</v>
      </c>
      <c r="C827" s="37" t="s">
        <v>421</v>
      </c>
      <c r="E827">
        <v>5</v>
      </c>
      <c r="F827" s="37"/>
    </row>
    <row r="828" spans="2:6" x14ac:dyDescent="0.25">
      <c r="B828" s="38">
        <v>45930</v>
      </c>
      <c r="C828" s="37" t="s">
        <v>258</v>
      </c>
      <c r="E828">
        <v>5</v>
      </c>
      <c r="F828" s="37"/>
    </row>
    <row r="829" spans="2:6" x14ac:dyDescent="0.25">
      <c r="B829" s="38">
        <v>45930</v>
      </c>
      <c r="C829" s="37" t="s">
        <v>291</v>
      </c>
      <c r="E829">
        <v>2</v>
      </c>
      <c r="F829" s="37"/>
    </row>
    <row r="830" spans="2:6" x14ac:dyDescent="0.25">
      <c r="B830" s="38">
        <v>45930</v>
      </c>
      <c r="C830" s="37" t="s">
        <v>381</v>
      </c>
      <c r="E830">
        <v>1</v>
      </c>
      <c r="F830" s="37"/>
    </row>
    <row r="831" spans="2:6" x14ac:dyDescent="0.25">
      <c r="B831" s="38">
        <v>45930</v>
      </c>
      <c r="C831" s="37" t="s">
        <v>499</v>
      </c>
      <c r="D831">
        <v>20</v>
      </c>
      <c r="F831" s="37" t="s">
        <v>500</v>
      </c>
    </row>
    <row r="832" spans="2:6" x14ac:dyDescent="0.25">
      <c r="B832" s="38">
        <v>45930</v>
      </c>
      <c r="C832" s="37" t="s">
        <v>497</v>
      </c>
      <c r="D832">
        <v>20</v>
      </c>
      <c r="F832" s="37" t="s">
        <v>500</v>
      </c>
    </row>
    <row r="833" spans="2:6" x14ac:dyDescent="0.25">
      <c r="B833" s="38">
        <v>45930</v>
      </c>
      <c r="C833" s="37" t="s">
        <v>232</v>
      </c>
      <c r="E833">
        <v>1</v>
      </c>
      <c r="F833" s="37" t="s">
        <v>501</v>
      </c>
    </row>
    <row r="834" spans="2:6" x14ac:dyDescent="0.25">
      <c r="B834" s="38">
        <v>45930</v>
      </c>
      <c r="C834" s="37" t="s">
        <v>250</v>
      </c>
      <c r="E834">
        <v>20</v>
      </c>
      <c r="F834" s="37"/>
    </row>
    <row r="835" spans="2:6" x14ac:dyDescent="0.25">
      <c r="B835" s="38">
        <v>45930</v>
      </c>
      <c r="C835" s="37" t="s">
        <v>438</v>
      </c>
      <c r="E835">
        <v>3</v>
      </c>
      <c r="F835" s="37"/>
    </row>
    <row r="836" spans="2:6" x14ac:dyDescent="0.25">
      <c r="B836" s="38">
        <v>45930</v>
      </c>
      <c r="C836" s="37" t="s">
        <v>480</v>
      </c>
      <c r="E836">
        <v>3</v>
      </c>
      <c r="F836" s="37"/>
    </row>
    <row r="837" spans="2:6" x14ac:dyDescent="0.25">
      <c r="B837" s="38">
        <v>45930</v>
      </c>
      <c r="C837" s="37" t="s">
        <v>465</v>
      </c>
      <c r="E837">
        <v>6</v>
      </c>
      <c r="F837" s="37"/>
    </row>
    <row r="838" spans="2:6" x14ac:dyDescent="0.25">
      <c r="B838" s="38">
        <v>45930</v>
      </c>
      <c r="C838" s="37" t="s">
        <v>496</v>
      </c>
      <c r="E838">
        <v>4</v>
      </c>
      <c r="F838" s="37"/>
    </row>
    <row r="839" spans="2:6" x14ac:dyDescent="0.25">
      <c r="B839" s="38">
        <v>45930</v>
      </c>
      <c r="C839" s="37" t="s">
        <v>468</v>
      </c>
      <c r="E839">
        <v>6</v>
      </c>
      <c r="F839" s="37"/>
    </row>
    <row r="840" spans="2:6" x14ac:dyDescent="0.25">
      <c r="B840" s="38">
        <v>45930</v>
      </c>
      <c r="C840" s="37" t="s">
        <v>467</v>
      </c>
      <c r="E840">
        <v>2</v>
      </c>
      <c r="F840" s="37"/>
    </row>
    <row r="841" spans="2:6" x14ac:dyDescent="0.25">
      <c r="B841" s="38">
        <v>45931</v>
      </c>
      <c r="C841" s="37" t="s">
        <v>496</v>
      </c>
      <c r="E841">
        <v>6</v>
      </c>
      <c r="F841" s="37"/>
    </row>
    <row r="842" spans="2:6" x14ac:dyDescent="0.25">
      <c r="B842" s="38">
        <v>45931</v>
      </c>
      <c r="C842" s="37" t="s">
        <v>160</v>
      </c>
      <c r="E842">
        <v>1</v>
      </c>
      <c r="F842" s="37"/>
    </row>
    <row r="843" spans="2:6" x14ac:dyDescent="0.25">
      <c r="B843" s="38">
        <v>45931</v>
      </c>
      <c r="C843" s="37" t="s">
        <v>443</v>
      </c>
      <c r="E843">
        <v>3</v>
      </c>
      <c r="F843" s="37"/>
    </row>
    <row r="844" spans="2:6" x14ac:dyDescent="0.25">
      <c r="B844" s="38">
        <v>45931</v>
      </c>
      <c r="C844" s="37" t="s">
        <v>429</v>
      </c>
      <c r="E844">
        <v>10</v>
      </c>
      <c r="F844" s="37"/>
    </row>
    <row r="845" spans="2:6" x14ac:dyDescent="0.25">
      <c r="B845" s="38">
        <v>45931</v>
      </c>
      <c r="C845" s="37" t="s">
        <v>145</v>
      </c>
      <c r="E845">
        <v>10</v>
      </c>
      <c r="F845" s="37"/>
    </row>
    <row r="846" spans="2:6" x14ac:dyDescent="0.25">
      <c r="B846" s="38">
        <v>45931</v>
      </c>
      <c r="C846" s="37" t="s">
        <v>251</v>
      </c>
      <c r="E846">
        <v>10</v>
      </c>
      <c r="F846" s="37"/>
    </row>
    <row r="847" spans="2:6" x14ac:dyDescent="0.25">
      <c r="B847" s="38">
        <v>45931</v>
      </c>
      <c r="C847" s="37" t="s">
        <v>472</v>
      </c>
      <c r="E847">
        <v>10</v>
      </c>
      <c r="F847" s="37"/>
    </row>
    <row r="848" spans="2:6" x14ac:dyDescent="0.25">
      <c r="B848" s="38">
        <v>45931</v>
      </c>
      <c r="C848" s="37" t="s">
        <v>116</v>
      </c>
      <c r="E848">
        <v>4</v>
      </c>
      <c r="F848" s="37"/>
    </row>
    <row r="849" spans="2:6" x14ac:dyDescent="0.25">
      <c r="B849" s="38">
        <v>45931</v>
      </c>
      <c r="C849" s="37" t="s">
        <v>443</v>
      </c>
      <c r="D849">
        <v>10</v>
      </c>
      <c r="F849" s="37" t="s">
        <v>481</v>
      </c>
    </row>
    <row r="850" spans="2:6" x14ac:dyDescent="0.25">
      <c r="B850" s="38">
        <v>45931</v>
      </c>
      <c r="C850" s="37" t="s">
        <v>445</v>
      </c>
      <c r="D850">
        <v>25</v>
      </c>
      <c r="F850" s="37" t="s">
        <v>481</v>
      </c>
    </row>
    <row r="851" spans="2:6" x14ac:dyDescent="0.25">
      <c r="B851" s="38">
        <v>45931</v>
      </c>
      <c r="C851" s="37" t="s">
        <v>480</v>
      </c>
      <c r="D851">
        <v>20</v>
      </c>
      <c r="F851" s="37" t="s">
        <v>481</v>
      </c>
    </row>
    <row r="852" spans="2:6" x14ac:dyDescent="0.25">
      <c r="B852" s="38">
        <v>45931</v>
      </c>
      <c r="C852" t="s">
        <v>502</v>
      </c>
      <c r="D852">
        <v>20</v>
      </c>
      <c r="F852" s="37" t="s">
        <v>481</v>
      </c>
    </row>
    <row r="853" spans="2:6" x14ac:dyDescent="0.25">
      <c r="B853" s="38">
        <v>45931</v>
      </c>
      <c r="C853" t="s">
        <v>445</v>
      </c>
      <c r="E853">
        <v>5</v>
      </c>
      <c r="F853" s="37"/>
    </row>
    <row r="854" spans="2:6" x14ac:dyDescent="0.25">
      <c r="B854" s="38">
        <v>45931</v>
      </c>
      <c r="C854" t="s">
        <v>443</v>
      </c>
      <c r="E854">
        <v>2</v>
      </c>
      <c r="F854" s="37"/>
    </row>
    <row r="855" spans="2:6" x14ac:dyDescent="0.25">
      <c r="B855" s="38">
        <v>45931</v>
      </c>
      <c r="C855" t="s">
        <v>502</v>
      </c>
      <c r="E855">
        <v>5</v>
      </c>
      <c r="F855" s="37"/>
    </row>
    <row r="856" spans="2:6" x14ac:dyDescent="0.25">
      <c r="B856" s="38">
        <v>45931</v>
      </c>
      <c r="C856" t="s">
        <v>480</v>
      </c>
      <c r="E856">
        <v>5</v>
      </c>
      <c r="F856" s="37"/>
    </row>
    <row r="857" spans="2:6" x14ac:dyDescent="0.25">
      <c r="B857" s="38">
        <v>45932</v>
      </c>
      <c r="C857" s="36" t="s">
        <v>506</v>
      </c>
      <c r="D857">
        <v>10</v>
      </c>
      <c r="F857" s="37" t="s">
        <v>509</v>
      </c>
    </row>
    <row r="858" spans="2:6" x14ac:dyDescent="0.25">
      <c r="B858" s="38">
        <v>45932</v>
      </c>
      <c r="C858" s="36" t="s">
        <v>504</v>
      </c>
      <c r="D858">
        <v>5</v>
      </c>
      <c r="F858" s="37" t="s">
        <v>509</v>
      </c>
    </row>
    <row r="859" spans="2:6" x14ac:dyDescent="0.25">
      <c r="B859" s="38">
        <v>45932</v>
      </c>
      <c r="C859" s="36" t="s">
        <v>397</v>
      </c>
      <c r="D859">
        <v>20</v>
      </c>
      <c r="F859" s="37" t="s">
        <v>509</v>
      </c>
    </row>
    <row r="860" spans="2:6" x14ac:dyDescent="0.25">
      <c r="B860" s="38">
        <v>45932</v>
      </c>
      <c r="C860" s="36" t="s">
        <v>452</v>
      </c>
      <c r="D860">
        <v>20</v>
      </c>
      <c r="F860" s="37" t="s">
        <v>509</v>
      </c>
    </row>
    <row r="861" spans="2:6" x14ac:dyDescent="0.25">
      <c r="B861" s="38">
        <v>45932</v>
      </c>
      <c r="C861" s="36" t="s">
        <v>317</v>
      </c>
      <c r="D861">
        <v>10</v>
      </c>
      <c r="F861" s="37" t="s">
        <v>509</v>
      </c>
    </row>
    <row r="862" spans="2:6" x14ac:dyDescent="0.25">
      <c r="B862" s="38">
        <v>45932</v>
      </c>
      <c r="C862" s="36" t="s">
        <v>420</v>
      </c>
      <c r="D862">
        <v>20</v>
      </c>
      <c r="F862" s="37" t="s">
        <v>509</v>
      </c>
    </row>
    <row r="863" spans="2:6" x14ac:dyDescent="0.25">
      <c r="B863" s="38">
        <v>45932</v>
      </c>
      <c r="C863" s="36" t="s">
        <v>432</v>
      </c>
      <c r="D863">
        <v>10</v>
      </c>
      <c r="F863" s="37" t="s">
        <v>509</v>
      </c>
    </row>
    <row r="864" spans="2:6" x14ac:dyDescent="0.25">
      <c r="B864" s="38">
        <v>45932</v>
      </c>
      <c r="C864" s="36" t="s">
        <v>124</v>
      </c>
      <c r="D864">
        <v>20</v>
      </c>
      <c r="F864" s="37" t="s">
        <v>509</v>
      </c>
    </row>
    <row r="865" spans="2:6" x14ac:dyDescent="0.25">
      <c r="B865" s="38">
        <v>45932</v>
      </c>
      <c r="C865" s="36" t="s">
        <v>508</v>
      </c>
      <c r="D865">
        <v>10</v>
      </c>
      <c r="F865" s="37" t="s">
        <v>509</v>
      </c>
    </row>
    <row r="866" spans="2:6" x14ac:dyDescent="0.25">
      <c r="B866" s="38">
        <v>45932</v>
      </c>
      <c r="C866" s="36" t="s">
        <v>251</v>
      </c>
      <c r="D866">
        <v>200</v>
      </c>
      <c r="F866" s="37" t="s">
        <v>509</v>
      </c>
    </row>
    <row r="867" spans="2:6" x14ac:dyDescent="0.25">
      <c r="B867" s="38">
        <v>45932</v>
      </c>
      <c r="C867" s="36" t="s">
        <v>171</v>
      </c>
      <c r="D867">
        <v>10</v>
      </c>
      <c r="F867" s="37" t="s">
        <v>509</v>
      </c>
    </row>
    <row r="868" spans="2:6" x14ac:dyDescent="0.25">
      <c r="B868" s="38">
        <v>45932</v>
      </c>
      <c r="C868" s="36" t="s">
        <v>504</v>
      </c>
      <c r="E868">
        <v>1</v>
      </c>
      <c r="F868" s="37"/>
    </row>
    <row r="869" spans="2:6" x14ac:dyDescent="0.25">
      <c r="B869" s="38">
        <v>45932</v>
      </c>
      <c r="C869" s="36" t="s">
        <v>506</v>
      </c>
      <c r="E869">
        <v>3</v>
      </c>
      <c r="F869" s="37"/>
    </row>
    <row r="870" spans="2:6" x14ac:dyDescent="0.25">
      <c r="B870" s="38">
        <v>45932</v>
      </c>
      <c r="C870" s="36" t="s">
        <v>171</v>
      </c>
      <c r="E870">
        <v>5</v>
      </c>
      <c r="F870" s="37"/>
    </row>
    <row r="871" spans="2:6" x14ac:dyDescent="0.25">
      <c r="B871" s="38">
        <v>45932</v>
      </c>
      <c r="C871" s="36" t="s">
        <v>508</v>
      </c>
      <c r="E871">
        <v>5</v>
      </c>
      <c r="F871" s="37"/>
    </row>
    <row r="872" spans="2:6" x14ac:dyDescent="0.25">
      <c r="B872" s="38">
        <v>45932</v>
      </c>
      <c r="C872" s="36" t="s">
        <v>124</v>
      </c>
      <c r="E872">
        <v>5</v>
      </c>
      <c r="F872" s="37"/>
    </row>
    <row r="873" spans="2:6" x14ac:dyDescent="0.25">
      <c r="B873" s="38">
        <v>45932</v>
      </c>
      <c r="C873" s="36" t="s">
        <v>432</v>
      </c>
      <c r="E873">
        <v>4</v>
      </c>
      <c r="F873" s="37"/>
    </row>
    <row r="874" spans="2:6" x14ac:dyDescent="0.25">
      <c r="B874" s="38">
        <v>45932</v>
      </c>
      <c r="C874" s="36" t="s">
        <v>251</v>
      </c>
      <c r="E874">
        <v>20</v>
      </c>
      <c r="F874" s="37"/>
    </row>
    <row r="875" spans="2:6" x14ac:dyDescent="0.25">
      <c r="B875" s="38">
        <v>45932</v>
      </c>
      <c r="C875" s="36" t="s">
        <v>256</v>
      </c>
      <c r="E875">
        <v>2</v>
      </c>
      <c r="F875" s="37"/>
    </row>
    <row r="876" spans="2:6" x14ac:dyDescent="0.25">
      <c r="B876" s="38">
        <v>45932</v>
      </c>
      <c r="C876" s="36" t="s">
        <v>419</v>
      </c>
      <c r="E876">
        <v>5</v>
      </c>
      <c r="F876" s="37"/>
    </row>
    <row r="877" spans="2:6" x14ac:dyDescent="0.25">
      <c r="B877" s="38">
        <v>45932</v>
      </c>
      <c r="C877" s="36" t="s">
        <v>438</v>
      </c>
      <c r="E877">
        <v>5</v>
      </c>
      <c r="F877" s="37"/>
    </row>
    <row r="878" spans="2:6" x14ac:dyDescent="0.25">
      <c r="B878" s="38">
        <v>45932</v>
      </c>
      <c r="C878" s="36" t="s">
        <v>236</v>
      </c>
      <c r="E878">
        <v>5</v>
      </c>
      <c r="F878" s="37"/>
    </row>
    <row r="879" spans="2:6" x14ac:dyDescent="0.25">
      <c r="B879" s="38">
        <v>45932</v>
      </c>
      <c r="C879" s="36" t="s">
        <v>221</v>
      </c>
      <c r="E879">
        <v>4</v>
      </c>
      <c r="F879" s="37"/>
    </row>
    <row r="880" spans="2:6" x14ac:dyDescent="0.25">
      <c r="B880" s="38">
        <v>45932</v>
      </c>
      <c r="C880" s="36" t="s">
        <v>155</v>
      </c>
      <c r="E880">
        <v>5</v>
      </c>
      <c r="F880" s="37"/>
    </row>
    <row r="881" spans="2:6" x14ac:dyDescent="0.25">
      <c r="B881" s="38">
        <v>45932</v>
      </c>
      <c r="C881" s="36" t="s">
        <v>491</v>
      </c>
      <c r="E881">
        <v>5</v>
      </c>
      <c r="F881" s="37"/>
    </row>
    <row r="882" spans="2:6" x14ac:dyDescent="0.25">
      <c r="B882" s="38">
        <v>45932</v>
      </c>
      <c r="C882" s="36" t="s">
        <v>493</v>
      </c>
      <c r="E882">
        <v>5</v>
      </c>
      <c r="F882" s="37"/>
    </row>
    <row r="883" spans="2:6" x14ac:dyDescent="0.25">
      <c r="B883" s="38">
        <v>45932</v>
      </c>
      <c r="C883" s="36" t="s">
        <v>445</v>
      </c>
      <c r="E883">
        <v>3</v>
      </c>
      <c r="F883" s="37"/>
    </row>
    <row r="884" spans="2:6" x14ac:dyDescent="0.25">
      <c r="B884" s="38">
        <v>45932</v>
      </c>
      <c r="C884" s="36" t="s">
        <v>346</v>
      </c>
      <c r="E884">
        <v>5</v>
      </c>
      <c r="F884" s="37"/>
    </row>
    <row r="885" spans="2:6" x14ac:dyDescent="0.25">
      <c r="B885" s="38">
        <v>45932</v>
      </c>
      <c r="C885" s="36" t="s">
        <v>472</v>
      </c>
      <c r="E885">
        <v>5</v>
      </c>
      <c r="F885" s="37"/>
    </row>
    <row r="886" spans="2:6" x14ac:dyDescent="0.25">
      <c r="B886" s="38">
        <v>45932</v>
      </c>
      <c r="C886" s="36" t="s">
        <v>139</v>
      </c>
      <c r="E886">
        <v>5</v>
      </c>
      <c r="F886" s="37"/>
    </row>
    <row r="887" spans="2:6" x14ac:dyDescent="0.25">
      <c r="B887" s="38">
        <v>45932</v>
      </c>
      <c r="C887" s="36" t="s">
        <v>140</v>
      </c>
      <c r="E887">
        <v>5</v>
      </c>
      <c r="F887" s="37"/>
    </row>
    <row r="888" spans="2:6" x14ac:dyDescent="0.25">
      <c r="B888" s="38">
        <v>45932</v>
      </c>
      <c r="C888" s="36" t="s">
        <v>469</v>
      </c>
      <c r="E888">
        <v>6</v>
      </c>
      <c r="F888" s="37"/>
    </row>
    <row r="889" spans="2:6" x14ac:dyDescent="0.25">
      <c r="B889" s="38">
        <v>45932</v>
      </c>
      <c r="C889" s="36" t="s">
        <v>470</v>
      </c>
      <c r="E889">
        <v>5</v>
      </c>
      <c r="F889" s="37"/>
    </row>
    <row r="890" spans="2:6" x14ac:dyDescent="0.25">
      <c r="B890" s="38">
        <v>45932</v>
      </c>
      <c r="C890" s="36" t="s">
        <v>317</v>
      </c>
      <c r="E890">
        <v>5</v>
      </c>
      <c r="F890" s="37"/>
    </row>
    <row r="891" spans="2:6" x14ac:dyDescent="0.25">
      <c r="B891" s="38">
        <v>45932</v>
      </c>
      <c r="C891" s="36" t="s">
        <v>420</v>
      </c>
      <c r="E891">
        <v>10</v>
      </c>
      <c r="F891" s="37"/>
    </row>
    <row r="892" spans="2:6" x14ac:dyDescent="0.25">
      <c r="B892" s="38">
        <v>45932</v>
      </c>
      <c r="C892" s="36" t="s">
        <v>452</v>
      </c>
      <c r="E892">
        <v>10</v>
      </c>
      <c r="F892" s="37"/>
    </row>
    <row r="893" spans="2:6" x14ac:dyDescent="0.25">
      <c r="B893" s="38">
        <v>45932</v>
      </c>
      <c r="C893" s="36" t="s">
        <v>397</v>
      </c>
      <c r="E893">
        <v>10</v>
      </c>
      <c r="F893" s="37"/>
    </row>
    <row r="894" spans="2:6" x14ac:dyDescent="0.25">
      <c r="B894" s="38">
        <v>45933</v>
      </c>
      <c r="C894" s="36" t="s">
        <v>208</v>
      </c>
      <c r="E894">
        <v>1</v>
      </c>
      <c r="F894" s="37"/>
    </row>
    <row r="895" spans="2:6" x14ac:dyDescent="0.25">
      <c r="B895" s="38">
        <v>45933</v>
      </c>
      <c r="C895" s="36" t="s">
        <v>285</v>
      </c>
      <c r="E895">
        <v>4</v>
      </c>
      <c r="F895" s="37"/>
    </row>
    <row r="896" spans="2:6" x14ac:dyDescent="0.25">
      <c r="B896" s="38">
        <v>45933</v>
      </c>
      <c r="C896" s="36" t="s">
        <v>468</v>
      </c>
      <c r="E896">
        <v>5</v>
      </c>
      <c r="F896" s="37"/>
    </row>
    <row r="897" spans="2:6" x14ac:dyDescent="0.25">
      <c r="B897" s="38">
        <v>45933</v>
      </c>
      <c r="C897" s="36" t="s">
        <v>465</v>
      </c>
      <c r="E897">
        <v>6</v>
      </c>
      <c r="F897" s="37"/>
    </row>
    <row r="898" spans="2:6" x14ac:dyDescent="0.25">
      <c r="B898" s="38">
        <v>45933</v>
      </c>
      <c r="C898" s="36" t="s">
        <v>124</v>
      </c>
      <c r="E898">
        <v>6</v>
      </c>
      <c r="F898" s="37"/>
    </row>
    <row r="899" spans="2:6" x14ac:dyDescent="0.25">
      <c r="B899" s="38">
        <v>45933</v>
      </c>
      <c r="C899" s="36" t="s">
        <v>378</v>
      </c>
      <c r="E899">
        <v>1</v>
      </c>
      <c r="F899" s="37"/>
    </row>
    <row r="900" spans="2:6" x14ac:dyDescent="0.25">
      <c r="B900" s="38">
        <v>45933</v>
      </c>
      <c r="C900" s="36" t="s">
        <v>232</v>
      </c>
      <c r="E900">
        <v>1</v>
      </c>
      <c r="F900" s="37"/>
    </row>
    <row r="901" spans="2:6" x14ac:dyDescent="0.25">
      <c r="B901" s="38">
        <v>45933</v>
      </c>
      <c r="C901" s="36" t="s">
        <v>212</v>
      </c>
      <c r="E901">
        <v>10</v>
      </c>
      <c r="F901" s="37"/>
    </row>
    <row r="902" spans="2:6" x14ac:dyDescent="0.25">
      <c r="B902" s="38">
        <v>45934</v>
      </c>
      <c r="C902" s="36" t="s">
        <v>484</v>
      </c>
      <c r="E902">
        <v>4</v>
      </c>
      <c r="F902" s="37"/>
    </row>
    <row r="903" spans="2:6" x14ac:dyDescent="0.25">
      <c r="B903" s="38">
        <v>45936</v>
      </c>
      <c r="C903" s="36" t="s">
        <v>171</v>
      </c>
      <c r="E903">
        <v>3</v>
      </c>
      <c r="F903" s="37"/>
    </row>
    <row r="904" spans="2:6" x14ac:dyDescent="0.25">
      <c r="B904" s="38">
        <v>45936</v>
      </c>
      <c r="C904" s="36" t="s">
        <v>251</v>
      </c>
      <c r="E904">
        <v>20</v>
      </c>
      <c r="F904" s="37"/>
    </row>
    <row r="905" spans="2:6" x14ac:dyDescent="0.25">
      <c r="B905" s="38">
        <v>45936</v>
      </c>
      <c r="C905" s="36" t="s">
        <v>445</v>
      </c>
      <c r="E905">
        <v>3</v>
      </c>
      <c r="F905" s="37"/>
    </row>
    <row r="906" spans="2:6" x14ac:dyDescent="0.25">
      <c r="B906" s="38">
        <v>45937</v>
      </c>
      <c r="C906" s="36" t="s">
        <v>285</v>
      </c>
      <c r="E906">
        <v>4</v>
      </c>
      <c r="F906" s="37"/>
    </row>
    <row r="907" spans="2:6" x14ac:dyDescent="0.25">
      <c r="B907" s="38">
        <v>45937</v>
      </c>
      <c r="C907" s="36" t="s">
        <v>211</v>
      </c>
      <c r="E907">
        <v>10</v>
      </c>
      <c r="F907" s="37"/>
    </row>
    <row r="908" spans="2:6" x14ac:dyDescent="0.25">
      <c r="B908" s="38">
        <v>45937</v>
      </c>
      <c r="C908" s="36" t="s">
        <v>445</v>
      </c>
      <c r="E908">
        <v>5</v>
      </c>
      <c r="F908" s="37"/>
    </row>
    <row r="909" spans="2:6" x14ac:dyDescent="0.25">
      <c r="B909" s="38">
        <v>45937</v>
      </c>
      <c r="C909" s="36" t="s">
        <v>443</v>
      </c>
      <c r="E909">
        <v>5</v>
      </c>
      <c r="F909" s="37"/>
    </row>
    <row r="910" spans="2:6" x14ac:dyDescent="0.25">
      <c r="B910" s="38">
        <v>45937</v>
      </c>
      <c r="C910" s="36" t="s">
        <v>160</v>
      </c>
      <c r="E910">
        <v>5</v>
      </c>
      <c r="F910" s="37"/>
    </row>
    <row r="911" spans="2:6" x14ac:dyDescent="0.25">
      <c r="B911" s="38">
        <v>45937</v>
      </c>
      <c r="C911" s="36" t="s">
        <v>465</v>
      </c>
      <c r="E911">
        <v>6</v>
      </c>
      <c r="F911" s="37"/>
    </row>
    <row r="912" spans="2:6" x14ac:dyDescent="0.25">
      <c r="B912" s="38">
        <v>45937</v>
      </c>
      <c r="C912" s="36" t="s">
        <v>466</v>
      </c>
      <c r="E912">
        <v>6</v>
      </c>
      <c r="F912" s="37"/>
    </row>
    <row r="913" spans="2:6" x14ac:dyDescent="0.25">
      <c r="B913" s="38">
        <v>45937</v>
      </c>
      <c r="C913" s="36" t="s">
        <v>496</v>
      </c>
      <c r="E913">
        <v>6</v>
      </c>
      <c r="F913" s="37"/>
    </row>
    <row r="914" spans="2:6" x14ac:dyDescent="0.25">
      <c r="B914" s="38">
        <v>45937</v>
      </c>
      <c r="C914" s="36" t="s">
        <v>143</v>
      </c>
      <c r="E914">
        <v>10</v>
      </c>
      <c r="F914" s="37"/>
    </row>
    <row r="915" spans="2:6" x14ac:dyDescent="0.25">
      <c r="B915" s="38">
        <v>45937</v>
      </c>
      <c r="C915" s="36" t="s">
        <v>144</v>
      </c>
      <c r="E915">
        <v>10</v>
      </c>
      <c r="F915" s="37"/>
    </row>
    <row r="916" spans="2:6" x14ac:dyDescent="0.25">
      <c r="B916" s="38">
        <v>45937</v>
      </c>
      <c r="C916" s="36" t="s">
        <v>419</v>
      </c>
      <c r="E916">
        <v>10</v>
      </c>
      <c r="F916" s="37"/>
    </row>
    <row r="917" spans="2:6" x14ac:dyDescent="0.25">
      <c r="B917" s="38">
        <v>45937</v>
      </c>
      <c r="C917" s="36" t="s">
        <v>142</v>
      </c>
      <c r="E917">
        <v>10</v>
      </c>
      <c r="F917" s="37"/>
    </row>
    <row r="918" spans="2:6" x14ac:dyDescent="0.25">
      <c r="B918" s="38">
        <v>45937</v>
      </c>
      <c r="C918" s="36" t="s">
        <v>146</v>
      </c>
      <c r="E918">
        <v>10</v>
      </c>
      <c r="F918" s="37"/>
    </row>
    <row r="919" spans="2:6" x14ac:dyDescent="0.25">
      <c r="B919" s="38">
        <v>45937</v>
      </c>
      <c r="C919" s="36" t="s">
        <v>511</v>
      </c>
      <c r="E919">
        <v>10</v>
      </c>
      <c r="F919" s="37"/>
    </row>
    <row r="920" spans="2:6" x14ac:dyDescent="0.25">
      <c r="B920" s="38">
        <v>45937</v>
      </c>
      <c r="C920" s="36" t="s">
        <v>493</v>
      </c>
      <c r="E920">
        <v>5</v>
      </c>
      <c r="F920" s="37"/>
    </row>
    <row r="921" spans="2:6" x14ac:dyDescent="0.25">
      <c r="B921" s="38">
        <v>45937</v>
      </c>
      <c r="C921" s="36" t="s">
        <v>491</v>
      </c>
      <c r="E921">
        <v>5</v>
      </c>
      <c r="F921" s="37"/>
    </row>
    <row r="922" spans="2:6" x14ac:dyDescent="0.25">
      <c r="B922" s="38">
        <v>45937</v>
      </c>
      <c r="C922" s="36" t="s">
        <v>489</v>
      </c>
      <c r="E922">
        <v>5</v>
      </c>
      <c r="F922" s="37"/>
    </row>
    <row r="923" spans="2:6" x14ac:dyDescent="0.25">
      <c r="B923" s="38">
        <v>45937</v>
      </c>
      <c r="C923" s="36" t="s">
        <v>378</v>
      </c>
      <c r="E923">
        <v>2</v>
      </c>
      <c r="F923" s="37"/>
    </row>
    <row r="924" spans="2:6" x14ac:dyDescent="0.25">
      <c r="B924" s="38">
        <v>45937</v>
      </c>
      <c r="C924" s="36" t="s">
        <v>471</v>
      </c>
      <c r="E924">
        <v>5</v>
      </c>
      <c r="F924" s="37"/>
    </row>
    <row r="925" spans="2:6" x14ac:dyDescent="0.25">
      <c r="B925" s="38">
        <v>45937</v>
      </c>
      <c r="C925" s="36" t="s">
        <v>171</v>
      </c>
      <c r="E925">
        <v>2</v>
      </c>
      <c r="F925" s="37"/>
    </row>
    <row r="926" spans="2:6" x14ac:dyDescent="0.25">
      <c r="B926" s="38">
        <v>45937</v>
      </c>
      <c r="C926" s="36" t="s">
        <v>497</v>
      </c>
      <c r="E926">
        <v>5</v>
      </c>
      <c r="F926" s="37"/>
    </row>
    <row r="927" spans="2:6" x14ac:dyDescent="0.25">
      <c r="B927" s="38">
        <v>45937</v>
      </c>
      <c r="C927" s="36" t="s">
        <v>201</v>
      </c>
      <c r="E927">
        <v>3</v>
      </c>
      <c r="F927" s="37"/>
    </row>
    <row r="928" spans="2:6" x14ac:dyDescent="0.25">
      <c r="B928" s="38">
        <v>45937</v>
      </c>
      <c r="C928" s="36" t="s">
        <v>258</v>
      </c>
      <c r="E928">
        <v>10</v>
      </c>
      <c r="F928" s="37"/>
    </row>
    <row r="929" spans="2:6" x14ac:dyDescent="0.25">
      <c r="B929" s="38">
        <v>45937</v>
      </c>
      <c r="C929" s="36" t="s">
        <v>469</v>
      </c>
      <c r="E929">
        <v>5</v>
      </c>
      <c r="F929" s="37"/>
    </row>
    <row r="930" spans="2:6" x14ac:dyDescent="0.25">
      <c r="B930" s="38">
        <v>45937</v>
      </c>
      <c r="C930" s="36" t="s">
        <v>317</v>
      </c>
      <c r="E930">
        <v>3</v>
      </c>
      <c r="F930" s="37"/>
    </row>
    <row r="931" spans="2:6" x14ac:dyDescent="0.25">
      <c r="B931" s="38">
        <v>45937</v>
      </c>
      <c r="C931" s="36" t="s">
        <v>167</v>
      </c>
      <c r="E931">
        <v>3</v>
      </c>
      <c r="F931" s="37"/>
    </row>
    <row r="932" spans="2:6" x14ac:dyDescent="0.25">
      <c r="B932" s="38">
        <v>45937</v>
      </c>
      <c r="C932" s="36" t="s">
        <v>166</v>
      </c>
      <c r="E932">
        <v>3</v>
      </c>
      <c r="F932" s="37"/>
    </row>
    <row r="933" spans="2:6" x14ac:dyDescent="0.25">
      <c r="B933" s="38">
        <v>45937</v>
      </c>
      <c r="C933" s="36" t="s">
        <v>159</v>
      </c>
      <c r="E933">
        <v>3</v>
      </c>
      <c r="F933" s="37"/>
    </row>
    <row r="934" spans="2:6" x14ac:dyDescent="0.25">
      <c r="B934" s="38">
        <v>45937</v>
      </c>
      <c r="C934" s="36" t="s">
        <v>472</v>
      </c>
      <c r="E934">
        <v>10</v>
      </c>
      <c r="F934" s="37"/>
    </row>
    <row r="935" spans="2:6" x14ac:dyDescent="0.25">
      <c r="B935" s="38">
        <v>45937</v>
      </c>
      <c r="C935" s="36" t="s">
        <v>138</v>
      </c>
      <c r="E935">
        <v>5</v>
      </c>
      <c r="F935" s="37"/>
    </row>
    <row r="936" spans="2:6" x14ac:dyDescent="0.25">
      <c r="B936" s="38">
        <v>45937</v>
      </c>
      <c r="C936" s="36" t="s">
        <v>149</v>
      </c>
      <c r="E936">
        <v>5</v>
      </c>
      <c r="F936" s="37"/>
    </row>
    <row r="937" spans="2:6" x14ac:dyDescent="0.25">
      <c r="B937" s="38">
        <v>45937</v>
      </c>
      <c r="C937" s="36" t="s">
        <v>145</v>
      </c>
      <c r="E937">
        <v>10</v>
      </c>
      <c r="F937" s="37"/>
    </row>
    <row r="938" spans="2:6" x14ac:dyDescent="0.25">
      <c r="B938" s="38">
        <v>45937</v>
      </c>
      <c r="C938" s="36" t="s">
        <v>217</v>
      </c>
      <c r="E938">
        <v>5</v>
      </c>
      <c r="F938" s="37"/>
    </row>
    <row r="939" spans="2:6" x14ac:dyDescent="0.25">
      <c r="B939" s="38">
        <v>45937</v>
      </c>
      <c r="C939" s="36" t="s">
        <v>234</v>
      </c>
      <c r="E939">
        <v>4</v>
      </c>
      <c r="F939" s="37"/>
    </row>
    <row r="940" spans="2:6" x14ac:dyDescent="0.25">
      <c r="B940" s="38">
        <v>45937</v>
      </c>
      <c r="C940" s="36" t="s">
        <v>235</v>
      </c>
      <c r="E940">
        <v>5</v>
      </c>
      <c r="F940" s="37"/>
    </row>
    <row r="941" spans="2:6" x14ac:dyDescent="0.25">
      <c r="B941" s="38">
        <v>45937</v>
      </c>
      <c r="C941" s="36" t="s">
        <v>251</v>
      </c>
      <c r="E941">
        <v>20</v>
      </c>
      <c r="F941" s="37"/>
    </row>
    <row r="942" spans="2:6" x14ac:dyDescent="0.25">
      <c r="B942" s="38">
        <v>45937</v>
      </c>
      <c r="C942" s="36" t="s">
        <v>139</v>
      </c>
      <c r="E942">
        <v>5</v>
      </c>
      <c r="F942" s="37"/>
    </row>
    <row r="943" spans="2:6" x14ac:dyDescent="0.25">
      <c r="B943" s="38">
        <v>45937</v>
      </c>
      <c r="C943" s="36" t="s">
        <v>140</v>
      </c>
      <c r="E943">
        <v>5</v>
      </c>
      <c r="F943" s="37"/>
    </row>
    <row r="944" spans="2:6" x14ac:dyDescent="0.25">
      <c r="B944" s="38">
        <v>45937</v>
      </c>
      <c r="C944" s="36" t="s">
        <v>429</v>
      </c>
      <c r="E944">
        <v>10</v>
      </c>
      <c r="F944" s="37"/>
    </row>
    <row r="945" spans="2:6" x14ac:dyDescent="0.25">
      <c r="B945" s="38">
        <v>45937</v>
      </c>
      <c r="C945" s="36" t="s">
        <v>256</v>
      </c>
      <c r="E945">
        <v>2</v>
      </c>
      <c r="F945" s="37"/>
    </row>
    <row r="946" spans="2:6" x14ac:dyDescent="0.25">
      <c r="B946" s="38">
        <v>45937</v>
      </c>
      <c r="C946" s="36" t="s">
        <v>272</v>
      </c>
      <c r="E946">
        <v>2</v>
      </c>
      <c r="F946" s="37"/>
    </row>
    <row r="947" spans="2:6" x14ac:dyDescent="0.25">
      <c r="B947" s="38">
        <v>45937</v>
      </c>
      <c r="C947" s="36" t="s">
        <v>425</v>
      </c>
      <c r="E947">
        <v>4</v>
      </c>
      <c r="F947" s="37"/>
    </row>
    <row r="948" spans="2:6" x14ac:dyDescent="0.25">
      <c r="B948" s="38">
        <v>45937</v>
      </c>
      <c r="C948" s="36" t="s">
        <v>420</v>
      </c>
      <c r="E948">
        <v>5</v>
      </c>
      <c r="F948" s="37"/>
    </row>
    <row r="949" spans="2:6" x14ac:dyDescent="0.25">
      <c r="B949" s="38">
        <v>45937</v>
      </c>
      <c r="C949" s="36" t="s">
        <v>212</v>
      </c>
      <c r="E949">
        <v>5</v>
      </c>
      <c r="F949" s="37"/>
    </row>
    <row r="950" spans="2:6" x14ac:dyDescent="0.25">
      <c r="B950" s="38">
        <v>45937</v>
      </c>
      <c r="C950" s="36" t="s">
        <v>492</v>
      </c>
      <c r="E950">
        <v>5</v>
      </c>
      <c r="F950" s="37"/>
    </row>
    <row r="951" spans="2:6" x14ac:dyDescent="0.25">
      <c r="B951" s="38">
        <v>45938</v>
      </c>
      <c r="C951" s="36" t="s">
        <v>176</v>
      </c>
      <c r="E951">
        <v>1</v>
      </c>
      <c r="F951" s="37"/>
    </row>
    <row r="952" spans="2:6" x14ac:dyDescent="0.25">
      <c r="B952" s="38">
        <v>45939</v>
      </c>
      <c r="C952" s="36" t="s">
        <v>468</v>
      </c>
      <c r="E952">
        <v>10</v>
      </c>
      <c r="F952" s="37"/>
    </row>
    <row r="953" spans="2:6" x14ac:dyDescent="0.25">
      <c r="B953" s="38">
        <v>45939</v>
      </c>
      <c r="C953" s="36" t="s">
        <v>465</v>
      </c>
      <c r="E953">
        <v>2</v>
      </c>
      <c r="F953" s="37"/>
    </row>
    <row r="954" spans="2:6" x14ac:dyDescent="0.25">
      <c r="B954" s="38">
        <v>45939</v>
      </c>
      <c r="C954" s="36" t="s">
        <v>493</v>
      </c>
      <c r="E954">
        <v>10</v>
      </c>
      <c r="F954" s="37"/>
    </row>
    <row r="955" spans="2:6" x14ac:dyDescent="0.25">
      <c r="B955" s="38">
        <v>45939</v>
      </c>
      <c r="C955" s="36" t="s">
        <v>480</v>
      </c>
      <c r="E955">
        <v>5</v>
      </c>
      <c r="F955" s="37"/>
    </row>
    <row r="956" spans="2:6" x14ac:dyDescent="0.25">
      <c r="B956" s="38">
        <v>45939</v>
      </c>
      <c r="C956" s="36" t="s">
        <v>124</v>
      </c>
      <c r="E956">
        <v>6</v>
      </c>
      <c r="F956" s="37"/>
    </row>
    <row r="957" spans="2:6" x14ac:dyDescent="0.25">
      <c r="B957" s="38">
        <v>45939</v>
      </c>
      <c r="C957" s="36" t="s">
        <v>346</v>
      </c>
      <c r="E957">
        <v>10</v>
      </c>
      <c r="F957" s="37"/>
    </row>
    <row r="958" spans="2:6" x14ac:dyDescent="0.25">
      <c r="B958" s="38">
        <v>45939</v>
      </c>
      <c r="C958" s="36" t="s">
        <v>227</v>
      </c>
      <c r="E958">
        <v>2</v>
      </c>
      <c r="F958" s="37"/>
    </row>
    <row r="959" spans="2:6" x14ac:dyDescent="0.25">
      <c r="B959" s="38">
        <v>45939</v>
      </c>
      <c r="C959" s="36" t="s">
        <v>445</v>
      </c>
      <c r="E959">
        <v>5</v>
      </c>
      <c r="F959" s="37"/>
    </row>
    <row r="960" spans="2:6" x14ac:dyDescent="0.25">
      <c r="B960" s="38">
        <v>45939</v>
      </c>
      <c r="C960" s="36" t="s">
        <v>251</v>
      </c>
      <c r="E960">
        <v>10</v>
      </c>
      <c r="F960" s="37"/>
    </row>
    <row r="961" spans="2:6" x14ac:dyDescent="0.25">
      <c r="B961" s="38">
        <v>45944</v>
      </c>
      <c r="C961" s="36" t="s">
        <v>251</v>
      </c>
      <c r="E961">
        <v>10</v>
      </c>
      <c r="F961" s="37"/>
    </row>
    <row r="962" spans="2:6" x14ac:dyDescent="0.25">
      <c r="B962" s="38">
        <v>45944</v>
      </c>
      <c r="C962" s="36" t="s">
        <v>240</v>
      </c>
      <c r="E962">
        <v>4</v>
      </c>
      <c r="F962" s="37"/>
    </row>
    <row r="963" spans="2:6" x14ac:dyDescent="0.25">
      <c r="B963" s="38">
        <v>45945</v>
      </c>
      <c r="C963" s="36" t="s">
        <v>251</v>
      </c>
      <c r="E963">
        <v>20</v>
      </c>
      <c r="F963" s="37"/>
    </row>
    <row r="964" spans="2:6" x14ac:dyDescent="0.25">
      <c r="B964" s="38">
        <v>45945</v>
      </c>
      <c r="C964" s="36" t="s">
        <v>445</v>
      </c>
      <c r="E964">
        <v>4</v>
      </c>
      <c r="F964" s="37"/>
    </row>
    <row r="965" spans="2:6" x14ac:dyDescent="0.25">
      <c r="B965" s="38">
        <v>45945</v>
      </c>
      <c r="C965" s="36" t="s">
        <v>443</v>
      </c>
      <c r="E965">
        <v>5</v>
      </c>
      <c r="F965" s="37"/>
    </row>
    <row r="966" spans="2:6" x14ac:dyDescent="0.25">
      <c r="B966" s="38">
        <v>45945</v>
      </c>
      <c r="C966" s="36" t="s">
        <v>502</v>
      </c>
      <c r="E966">
        <v>5</v>
      </c>
      <c r="F966" s="37"/>
    </row>
    <row r="967" spans="2:6" x14ac:dyDescent="0.25">
      <c r="B967" s="38">
        <v>45945</v>
      </c>
      <c r="C967" s="36" t="s">
        <v>508</v>
      </c>
      <c r="E967">
        <v>5</v>
      </c>
      <c r="F967" s="37"/>
    </row>
    <row r="968" spans="2:6" x14ac:dyDescent="0.25">
      <c r="B968" s="38">
        <v>45945</v>
      </c>
      <c r="C968" s="36" t="s">
        <v>544</v>
      </c>
      <c r="E968">
        <v>6</v>
      </c>
      <c r="F968" s="37" t="s">
        <v>531</v>
      </c>
    </row>
    <row r="969" spans="2:6" x14ac:dyDescent="0.25">
      <c r="B969" s="38">
        <v>45946</v>
      </c>
      <c r="C969" s="36" t="s">
        <v>135</v>
      </c>
      <c r="E969">
        <v>104</v>
      </c>
      <c r="F969" s="37" t="s">
        <v>531</v>
      </c>
    </row>
    <row r="970" spans="2:6" x14ac:dyDescent="0.25">
      <c r="B970" s="38">
        <v>45946</v>
      </c>
      <c r="C970" s="36" t="s">
        <v>137</v>
      </c>
      <c r="E970">
        <v>6</v>
      </c>
      <c r="F970" s="37" t="s">
        <v>531</v>
      </c>
    </row>
    <row r="971" spans="2:6" x14ac:dyDescent="0.25">
      <c r="B971" s="38">
        <v>45946</v>
      </c>
      <c r="C971" s="36" t="s">
        <v>138</v>
      </c>
      <c r="E971">
        <v>19</v>
      </c>
      <c r="F971" s="37" t="s">
        <v>531</v>
      </c>
    </row>
    <row r="972" spans="2:6" x14ac:dyDescent="0.25">
      <c r="B972" s="38">
        <v>45946</v>
      </c>
      <c r="C972" s="36" t="s">
        <v>139</v>
      </c>
      <c r="E972">
        <v>12</v>
      </c>
      <c r="F972" s="37" t="s">
        <v>531</v>
      </c>
    </row>
    <row r="973" spans="2:6" x14ac:dyDescent="0.25">
      <c r="B973" s="38">
        <v>45946</v>
      </c>
      <c r="C973" s="36" t="s">
        <v>142</v>
      </c>
      <c r="E973">
        <v>2</v>
      </c>
      <c r="F973" s="37" t="s">
        <v>531</v>
      </c>
    </row>
    <row r="974" spans="2:6" x14ac:dyDescent="0.25">
      <c r="B974" s="38">
        <v>45946</v>
      </c>
      <c r="C974" s="36" t="s">
        <v>144</v>
      </c>
      <c r="E974">
        <v>47</v>
      </c>
      <c r="F974" s="37" t="s">
        <v>531</v>
      </c>
    </row>
    <row r="975" spans="2:6" x14ac:dyDescent="0.25">
      <c r="B975" s="38">
        <v>45946</v>
      </c>
      <c r="C975" s="36" t="s">
        <v>145</v>
      </c>
      <c r="E975">
        <v>36</v>
      </c>
      <c r="F975" s="37" t="s">
        <v>531</v>
      </c>
    </row>
    <row r="976" spans="2:6" x14ac:dyDescent="0.25">
      <c r="B976" s="38">
        <v>45946</v>
      </c>
      <c r="C976" s="36" t="s">
        <v>146</v>
      </c>
      <c r="E976">
        <v>6</v>
      </c>
      <c r="F976" s="37" t="s">
        <v>531</v>
      </c>
    </row>
    <row r="977" spans="2:6" x14ac:dyDescent="0.25">
      <c r="B977" s="38">
        <v>45946</v>
      </c>
      <c r="C977" s="36" t="s">
        <v>419</v>
      </c>
      <c r="E977">
        <v>100</v>
      </c>
      <c r="F977" s="37" t="s">
        <v>531</v>
      </c>
    </row>
    <row r="978" spans="2:6" x14ac:dyDescent="0.25">
      <c r="B978" s="38">
        <v>45946</v>
      </c>
      <c r="C978" s="36" t="s">
        <v>155</v>
      </c>
      <c r="E978">
        <v>75</v>
      </c>
      <c r="F978" s="37" t="s">
        <v>531</v>
      </c>
    </row>
    <row r="979" spans="2:6" x14ac:dyDescent="0.25">
      <c r="B979" s="38">
        <v>45946</v>
      </c>
      <c r="C979" s="36" t="s">
        <v>157</v>
      </c>
      <c r="E979">
        <v>19</v>
      </c>
      <c r="F979" s="37" t="s">
        <v>531</v>
      </c>
    </row>
    <row r="980" spans="2:6" x14ac:dyDescent="0.25">
      <c r="B980" s="38">
        <v>45946</v>
      </c>
      <c r="C980" s="36" t="s">
        <v>158</v>
      </c>
      <c r="E980">
        <v>9</v>
      </c>
      <c r="F980" s="37" t="s">
        <v>531</v>
      </c>
    </row>
    <row r="981" spans="2:6" x14ac:dyDescent="0.25">
      <c r="B981" s="38">
        <v>45946</v>
      </c>
      <c r="C981" s="36" t="s">
        <v>159</v>
      </c>
      <c r="E981">
        <v>16</v>
      </c>
      <c r="F981" s="37" t="s">
        <v>531</v>
      </c>
    </row>
    <row r="982" spans="2:6" x14ac:dyDescent="0.25">
      <c r="B982" s="38">
        <v>45946</v>
      </c>
      <c r="C982" s="36" t="s">
        <v>164</v>
      </c>
      <c r="E982">
        <v>38</v>
      </c>
      <c r="F982" s="37" t="s">
        <v>531</v>
      </c>
    </row>
    <row r="983" spans="2:6" x14ac:dyDescent="0.25">
      <c r="B983" s="38">
        <v>45946</v>
      </c>
      <c r="C983" s="36" t="s">
        <v>165</v>
      </c>
      <c r="E983">
        <v>22</v>
      </c>
      <c r="F983" s="37" t="s">
        <v>531</v>
      </c>
    </row>
    <row r="984" spans="2:6" x14ac:dyDescent="0.25">
      <c r="B984" s="38">
        <v>45946</v>
      </c>
      <c r="C984" s="36" t="s">
        <v>166</v>
      </c>
      <c r="E984">
        <v>19</v>
      </c>
      <c r="F984" s="37" t="s">
        <v>531</v>
      </c>
    </row>
    <row r="985" spans="2:6" x14ac:dyDescent="0.25">
      <c r="B985" s="38">
        <v>45946</v>
      </c>
      <c r="C985" s="36" t="s">
        <v>167</v>
      </c>
      <c r="E985">
        <v>19</v>
      </c>
      <c r="F985" s="37" t="s">
        <v>531</v>
      </c>
    </row>
    <row r="986" spans="2:6" x14ac:dyDescent="0.25">
      <c r="B986" s="38">
        <v>45946</v>
      </c>
      <c r="C986" s="36" t="s">
        <v>170</v>
      </c>
      <c r="E986">
        <v>7</v>
      </c>
      <c r="F986" s="37" t="s">
        <v>531</v>
      </c>
    </row>
    <row r="987" spans="2:6" x14ac:dyDescent="0.25">
      <c r="B987" s="38">
        <v>45946</v>
      </c>
      <c r="C987" s="36" t="s">
        <v>171</v>
      </c>
      <c r="E987">
        <v>2</v>
      </c>
      <c r="F987" s="37" t="s">
        <v>531</v>
      </c>
    </row>
    <row r="988" spans="2:6" x14ac:dyDescent="0.25">
      <c r="B988" s="38">
        <v>45946</v>
      </c>
      <c r="C988" s="36" t="s">
        <v>173</v>
      </c>
      <c r="E988">
        <v>2</v>
      </c>
      <c r="F988" s="37" t="s">
        <v>531</v>
      </c>
    </row>
    <row r="989" spans="2:6" x14ac:dyDescent="0.25">
      <c r="B989" s="38">
        <v>45946</v>
      </c>
      <c r="C989" s="36" t="s">
        <v>160</v>
      </c>
      <c r="E989">
        <v>10</v>
      </c>
      <c r="F989" s="37" t="s">
        <v>531</v>
      </c>
    </row>
    <row r="990" spans="2:6" x14ac:dyDescent="0.25">
      <c r="B990" s="38">
        <v>45946</v>
      </c>
      <c r="C990" s="36" t="s">
        <v>188</v>
      </c>
      <c r="E990">
        <v>2</v>
      </c>
      <c r="F990" s="37" t="s">
        <v>531</v>
      </c>
    </row>
    <row r="991" spans="2:6" x14ac:dyDescent="0.25">
      <c r="B991" s="38">
        <v>45946</v>
      </c>
      <c r="C991" s="36" t="s">
        <v>184</v>
      </c>
      <c r="E991">
        <v>17</v>
      </c>
      <c r="F991" s="37" t="s">
        <v>531</v>
      </c>
    </row>
    <row r="992" spans="2:6" x14ac:dyDescent="0.25">
      <c r="B992" s="38">
        <v>45946</v>
      </c>
      <c r="C992" s="36" t="s">
        <v>183</v>
      </c>
      <c r="E992">
        <v>1</v>
      </c>
      <c r="F992" s="37" t="s">
        <v>531</v>
      </c>
    </row>
    <row r="993" spans="2:6" x14ac:dyDescent="0.25">
      <c r="B993" s="38">
        <v>45946</v>
      </c>
      <c r="C993" s="36" t="s">
        <v>534</v>
      </c>
      <c r="E993">
        <v>9</v>
      </c>
      <c r="F993" s="37" t="s">
        <v>531</v>
      </c>
    </row>
    <row r="994" spans="2:6" x14ac:dyDescent="0.25">
      <c r="B994" s="38">
        <v>45946</v>
      </c>
      <c r="C994" s="36" t="s">
        <v>191</v>
      </c>
      <c r="E994">
        <v>3</v>
      </c>
      <c r="F994" s="37" t="s">
        <v>531</v>
      </c>
    </row>
    <row r="995" spans="2:6" x14ac:dyDescent="0.25">
      <c r="B995" s="38">
        <v>45946</v>
      </c>
      <c r="C995" s="36" t="s">
        <v>163</v>
      </c>
      <c r="E995">
        <v>9</v>
      </c>
      <c r="F995" s="37" t="s">
        <v>531</v>
      </c>
    </row>
    <row r="996" spans="2:6" x14ac:dyDescent="0.25">
      <c r="B996" s="38">
        <v>45946</v>
      </c>
      <c r="C996" s="36" t="s">
        <v>182</v>
      </c>
      <c r="E996">
        <v>7</v>
      </c>
      <c r="F996" s="37" t="s">
        <v>531</v>
      </c>
    </row>
    <row r="997" spans="2:6" x14ac:dyDescent="0.25">
      <c r="B997" s="38">
        <v>45946</v>
      </c>
      <c r="C997" s="36" t="s">
        <v>194</v>
      </c>
      <c r="E997">
        <v>2</v>
      </c>
      <c r="F997" s="37" t="s">
        <v>531</v>
      </c>
    </row>
    <row r="998" spans="2:6" x14ac:dyDescent="0.25">
      <c r="B998" s="38">
        <v>45946</v>
      </c>
      <c r="C998" s="36" t="s">
        <v>196</v>
      </c>
      <c r="E998">
        <v>10</v>
      </c>
      <c r="F998" s="37" t="s">
        <v>531</v>
      </c>
    </row>
    <row r="999" spans="2:6" x14ac:dyDescent="0.25">
      <c r="B999" s="38">
        <v>45946</v>
      </c>
      <c r="C999" s="36" t="s">
        <v>186</v>
      </c>
      <c r="E999">
        <v>2</v>
      </c>
      <c r="F999" s="37" t="s">
        <v>531</v>
      </c>
    </row>
    <row r="1000" spans="2:6" x14ac:dyDescent="0.25">
      <c r="B1000" s="38">
        <v>45946</v>
      </c>
      <c r="C1000" s="36" t="s">
        <v>198</v>
      </c>
      <c r="E1000">
        <v>2</v>
      </c>
      <c r="F1000" s="37" t="s">
        <v>531</v>
      </c>
    </row>
    <row r="1001" spans="2:6" x14ac:dyDescent="0.25">
      <c r="B1001" s="38">
        <v>45946</v>
      </c>
      <c r="C1001" s="36" t="s">
        <v>204</v>
      </c>
      <c r="E1001">
        <v>8</v>
      </c>
      <c r="F1001" s="37" t="s">
        <v>531</v>
      </c>
    </row>
    <row r="1002" spans="2:6" x14ac:dyDescent="0.25">
      <c r="B1002" s="38">
        <v>45946</v>
      </c>
      <c r="C1002" s="36" t="s">
        <v>210</v>
      </c>
      <c r="E1002">
        <v>14</v>
      </c>
      <c r="F1002" s="37" t="s">
        <v>531</v>
      </c>
    </row>
    <row r="1003" spans="2:6" x14ac:dyDescent="0.25">
      <c r="B1003" s="38">
        <v>45946</v>
      </c>
      <c r="C1003" s="36" t="s">
        <v>211</v>
      </c>
      <c r="E1003">
        <v>15</v>
      </c>
      <c r="F1003" s="37" t="s">
        <v>531</v>
      </c>
    </row>
    <row r="1004" spans="2:6" x14ac:dyDescent="0.25">
      <c r="B1004" s="38">
        <v>45946</v>
      </c>
      <c r="C1004" s="36" t="s">
        <v>217</v>
      </c>
      <c r="E1004">
        <v>2</v>
      </c>
      <c r="F1004" s="37" t="s">
        <v>531</v>
      </c>
    </row>
    <row r="1005" spans="2:6" x14ac:dyDescent="0.25">
      <c r="B1005" s="38">
        <v>45946</v>
      </c>
      <c r="C1005" s="36" t="s">
        <v>218</v>
      </c>
      <c r="E1005">
        <v>5</v>
      </c>
      <c r="F1005" s="37" t="s">
        <v>531</v>
      </c>
    </row>
    <row r="1006" spans="2:6" x14ac:dyDescent="0.25">
      <c r="B1006" s="38">
        <v>45946</v>
      </c>
      <c r="C1006" s="36" t="s">
        <v>219</v>
      </c>
      <c r="E1006">
        <v>8</v>
      </c>
      <c r="F1006" s="37" t="s">
        <v>531</v>
      </c>
    </row>
    <row r="1007" spans="2:6" x14ac:dyDescent="0.25">
      <c r="B1007" s="38">
        <v>45946</v>
      </c>
      <c r="C1007" s="36" t="s">
        <v>262</v>
      </c>
      <c r="E1007">
        <v>27</v>
      </c>
      <c r="F1007" s="37" t="s">
        <v>531</v>
      </c>
    </row>
    <row r="1008" spans="2:6" x14ac:dyDescent="0.25">
      <c r="B1008" s="38">
        <v>45946</v>
      </c>
      <c r="C1008" s="36" t="s">
        <v>220</v>
      </c>
      <c r="E1008">
        <v>6</v>
      </c>
      <c r="F1008" s="37" t="s">
        <v>531</v>
      </c>
    </row>
    <row r="1009" spans="2:6" x14ac:dyDescent="0.25">
      <c r="B1009" s="38">
        <v>45946</v>
      </c>
      <c r="C1009" s="36" t="s">
        <v>223</v>
      </c>
      <c r="E1009">
        <v>7</v>
      </c>
      <c r="F1009" s="37" t="s">
        <v>531</v>
      </c>
    </row>
    <row r="1010" spans="2:6" x14ac:dyDescent="0.25">
      <c r="B1010" s="38">
        <v>45946</v>
      </c>
      <c r="C1010" s="36" t="s">
        <v>346</v>
      </c>
      <c r="E1010">
        <v>6</v>
      </c>
      <c r="F1010" s="37" t="s">
        <v>531</v>
      </c>
    </row>
    <row r="1011" spans="2:6" x14ac:dyDescent="0.25">
      <c r="B1011" s="38">
        <v>45946</v>
      </c>
      <c r="C1011" s="36" t="s">
        <v>225</v>
      </c>
      <c r="E1011">
        <v>13</v>
      </c>
      <c r="F1011" s="37" t="s">
        <v>531</v>
      </c>
    </row>
    <row r="1012" spans="2:6" x14ac:dyDescent="0.25">
      <c r="B1012" s="38">
        <v>45946</v>
      </c>
      <c r="C1012" s="36" t="s">
        <v>237</v>
      </c>
      <c r="E1012">
        <v>8</v>
      </c>
      <c r="F1012" s="37" t="s">
        <v>531</v>
      </c>
    </row>
    <row r="1013" spans="2:6" x14ac:dyDescent="0.25">
      <c r="B1013" s="38">
        <v>45946</v>
      </c>
      <c r="C1013" s="36" t="s">
        <v>238</v>
      </c>
      <c r="E1013">
        <v>4</v>
      </c>
      <c r="F1013" s="37" t="s">
        <v>531</v>
      </c>
    </row>
    <row r="1014" spans="2:6" x14ac:dyDescent="0.25">
      <c r="B1014" s="38">
        <v>45946</v>
      </c>
      <c r="C1014" s="36" t="s">
        <v>239</v>
      </c>
      <c r="E1014">
        <v>5</v>
      </c>
      <c r="F1014" s="37" t="s">
        <v>531</v>
      </c>
    </row>
    <row r="1015" spans="2:6" x14ac:dyDescent="0.25">
      <c r="B1015" s="38">
        <v>45946</v>
      </c>
      <c r="C1015" s="36" t="s">
        <v>241</v>
      </c>
      <c r="E1015">
        <v>2</v>
      </c>
      <c r="F1015" s="37" t="s">
        <v>531</v>
      </c>
    </row>
    <row r="1016" spans="2:6" x14ac:dyDescent="0.25">
      <c r="B1016" s="38">
        <v>45946</v>
      </c>
      <c r="C1016" s="36" t="s">
        <v>635</v>
      </c>
      <c r="E1016">
        <v>12</v>
      </c>
      <c r="F1016" s="37" t="s">
        <v>531</v>
      </c>
    </row>
    <row r="1017" spans="2:6" x14ac:dyDescent="0.25">
      <c r="B1017" s="38">
        <v>45946</v>
      </c>
      <c r="C1017" s="36" t="s">
        <v>255</v>
      </c>
      <c r="E1017">
        <v>28</v>
      </c>
      <c r="F1017" s="37" t="s">
        <v>531</v>
      </c>
    </row>
    <row r="1018" spans="2:6" x14ac:dyDescent="0.25">
      <c r="B1018" s="38">
        <v>45946</v>
      </c>
      <c r="C1018" s="36" t="s">
        <v>264</v>
      </c>
      <c r="E1018">
        <v>6</v>
      </c>
      <c r="F1018" s="37" t="s">
        <v>531</v>
      </c>
    </row>
    <row r="1019" spans="2:6" x14ac:dyDescent="0.25">
      <c r="B1019" s="38">
        <v>45946</v>
      </c>
      <c r="C1019" s="36" t="s">
        <v>595</v>
      </c>
      <c r="E1019">
        <v>2</v>
      </c>
      <c r="F1019" s="37" t="s">
        <v>531</v>
      </c>
    </row>
    <row r="1020" spans="2:6" x14ac:dyDescent="0.25">
      <c r="B1020" s="38">
        <v>45946</v>
      </c>
      <c r="C1020" s="36" t="s">
        <v>380</v>
      </c>
      <c r="E1020">
        <v>5</v>
      </c>
      <c r="F1020" s="37" t="s">
        <v>531</v>
      </c>
    </row>
    <row r="1021" spans="2:6" x14ac:dyDescent="0.25">
      <c r="B1021" s="38">
        <v>45946</v>
      </c>
      <c r="C1021" s="36" t="s">
        <v>278</v>
      </c>
      <c r="E1021">
        <v>7</v>
      </c>
      <c r="F1021" s="37" t="s">
        <v>531</v>
      </c>
    </row>
    <row r="1022" spans="2:6" x14ac:dyDescent="0.25">
      <c r="B1022" s="38">
        <v>45946</v>
      </c>
      <c r="C1022" s="36" t="s">
        <v>245</v>
      </c>
      <c r="E1022">
        <v>14</v>
      </c>
      <c r="F1022" s="37" t="s">
        <v>531</v>
      </c>
    </row>
    <row r="1023" spans="2:6" x14ac:dyDescent="0.25">
      <c r="B1023" s="38">
        <v>45946</v>
      </c>
      <c r="C1023" s="36" t="s">
        <v>252</v>
      </c>
      <c r="E1023">
        <v>5</v>
      </c>
      <c r="F1023" s="37" t="s">
        <v>531</v>
      </c>
    </row>
    <row r="1024" spans="2:6" x14ac:dyDescent="0.25">
      <c r="B1024" s="38">
        <v>45946</v>
      </c>
      <c r="C1024" s="36" t="s">
        <v>208</v>
      </c>
      <c r="E1024">
        <v>1</v>
      </c>
      <c r="F1024" s="37" t="s">
        <v>531</v>
      </c>
    </row>
    <row r="1025" spans="2:6" x14ac:dyDescent="0.25">
      <c r="B1025" s="38">
        <v>45946</v>
      </c>
      <c r="C1025" s="36" t="s">
        <v>271</v>
      </c>
      <c r="E1025">
        <v>4</v>
      </c>
      <c r="F1025" s="37" t="s">
        <v>531</v>
      </c>
    </row>
    <row r="1026" spans="2:6" x14ac:dyDescent="0.25">
      <c r="B1026" s="38">
        <v>45946</v>
      </c>
      <c r="C1026" s="36" t="s">
        <v>269</v>
      </c>
      <c r="E1026">
        <v>12</v>
      </c>
      <c r="F1026" s="37" t="s">
        <v>531</v>
      </c>
    </row>
    <row r="1027" spans="2:6" x14ac:dyDescent="0.25">
      <c r="B1027" s="38">
        <v>45946</v>
      </c>
      <c r="C1027" s="36" t="s">
        <v>268</v>
      </c>
      <c r="E1027">
        <v>7</v>
      </c>
      <c r="F1027" s="37" t="s">
        <v>531</v>
      </c>
    </row>
    <row r="1028" spans="2:6" x14ac:dyDescent="0.25">
      <c r="B1028" s="38">
        <v>45946</v>
      </c>
      <c r="C1028" s="36" t="s">
        <v>270</v>
      </c>
      <c r="E1028">
        <v>5</v>
      </c>
      <c r="F1028" s="37" t="s">
        <v>531</v>
      </c>
    </row>
    <row r="1029" spans="2:6" x14ac:dyDescent="0.25">
      <c r="B1029" s="38">
        <v>45946</v>
      </c>
      <c r="C1029" s="36" t="s">
        <v>248</v>
      </c>
      <c r="E1029">
        <v>5</v>
      </c>
      <c r="F1029" s="37" t="s">
        <v>531</v>
      </c>
    </row>
    <row r="1030" spans="2:6" x14ac:dyDescent="0.25">
      <c r="B1030" s="38">
        <v>45946</v>
      </c>
      <c r="C1030" s="36" t="s">
        <v>510</v>
      </c>
      <c r="E1030">
        <v>12</v>
      </c>
      <c r="F1030" s="37" t="s">
        <v>531</v>
      </c>
    </row>
    <row r="1031" spans="2:6" x14ac:dyDescent="0.25">
      <c r="B1031" s="38">
        <v>45946</v>
      </c>
      <c r="C1031" s="36" t="s">
        <v>275</v>
      </c>
      <c r="E1031">
        <v>9</v>
      </c>
      <c r="F1031" s="37" t="s">
        <v>531</v>
      </c>
    </row>
    <row r="1032" spans="2:6" x14ac:dyDescent="0.25">
      <c r="B1032" s="38">
        <v>45946</v>
      </c>
      <c r="C1032" s="36" t="s">
        <v>216</v>
      </c>
      <c r="E1032">
        <v>5</v>
      </c>
      <c r="F1032" s="37" t="s">
        <v>531</v>
      </c>
    </row>
    <row r="1033" spans="2:6" x14ac:dyDescent="0.25">
      <c r="B1033" s="38">
        <v>45946</v>
      </c>
      <c r="C1033" s="36" t="s">
        <v>244</v>
      </c>
      <c r="E1033">
        <v>4</v>
      </c>
      <c r="F1033" s="37" t="s">
        <v>531</v>
      </c>
    </row>
    <row r="1034" spans="2:6" x14ac:dyDescent="0.25">
      <c r="B1034" s="38">
        <v>45946</v>
      </c>
      <c r="C1034" s="36" t="s">
        <v>399</v>
      </c>
      <c r="E1034">
        <v>13</v>
      </c>
      <c r="F1034" s="37" t="s">
        <v>531</v>
      </c>
    </row>
    <row r="1035" spans="2:6" x14ac:dyDescent="0.25">
      <c r="B1035" s="38">
        <v>45946</v>
      </c>
      <c r="C1035" s="36" t="s">
        <v>423</v>
      </c>
      <c r="E1035">
        <v>10</v>
      </c>
      <c r="F1035" s="37" t="s">
        <v>531</v>
      </c>
    </row>
    <row r="1036" spans="2:6" x14ac:dyDescent="0.25">
      <c r="B1036" s="38">
        <v>45946</v>
      </c>
      <c r="C1036" s="36" t="s">
        <v>440</v>
      </c>
      <c r="E1036">
        <v>10</v>
      </c>
      <c r="F1036" s="37" t="s">
        <v>531</v>
      </c>
    </row>
    <row r="1037" spans="2:6" x14ac:dyDescent="0.25">
      <c r="B1037" s="38">
        <v>45946</v>
      </c>
      <c r="C1037" s="36" t="s">
        <v>535</v>
      </c>
      <c r="E1037">
        <v>20</v>
      </c>
      <c r="F1037" s="37" t="s">
        <v>531</v>
      </c>
    </row>
    <row r="1038" spans="2:6" x14ac:dyDescent="0.25">
      <c r="B1038" s="38">
        <v>45946</v>
      </c>
      <c r="C1038" s="36" t="s">
        <v>117</v>
      </c>
      <c r="D1038">
        <v>24</v>
      </c>
      <c r="F1038" s="37" t="s">
        <v>536</v>
      </c>
    </row>
    <row r="1039" spans="2:6" x14ac:dyDescent="0.25">
      <c r="B1039" s="38">
        <v>45946</v>
      </c>
      <c r="C1039" s="36" t="s">
        <v>544</v>
      </c>
      <c r="D1039">
        <v>10</v>
      </c>
      <c r="F1039" s="37" t="s">
        <v>536</v>
      </c>
    </row>
    <row r="1040" spans="2:6" x14ac:dyDescent="0.25">
      <c r="B1040" s="38">
        <v>45946</v>
      </c>
      <c r="C1040" s="36" t="s">
        <v>124</v>
      </c>
      <c r="D1040">
        <v>20</v>
      </c>
      <c r="F1040" s="37" t="s">
        <v>536</v>
      </c>
    </row>
    <row r="1041" spans="2:6" x14ac:dyDescent="0.25">
      <c r="B1041" s="38">
        <v>45946</v>
      </c>
      <c r="C1041" s="36" t="s">
        <v>140</v>
      </c>
      <c r="D1041">
        <v>3</v>
      </c>
      <c r="F1041" s="37" t="s">
        <v>536</v>
      </c>
    </row>
    <row r="1042" spans="2:6" x14ac:dyDescent="0.25">
      <c r="B1042" s="38">
        <v>45946</v>
      </c>
      <c r="C1042" s="36" t="s">
        <v>143</v>
      </c>
      <c r="D1042">
        <v>1</v>
      </c>
      <c r="F1042" s="37" t="s">
        <v>536</v>
      </c>
    </row>
    <row r="1043" spans="2:6" x14ac:dyDescent="0.25">
      <c r="B1043" s="38">
        <v>45946</v>
      </c>
      <c r="C1043" s="36" t="s">
        <v>149</v>
      </c>
      <c r="D1043">
        <v>2</v>
      </c>
      <c r="F1043" s="37" t="s">
        <v>536</v>
      </c>
    </row>
    <row r="1044" spans="2:6" x14ac:dyDescent="0.25">
      <c r="B1044" s="38">
        <v>45946</v>
      </c>
      <c r="C1044" s="36" t="s">
        <v>150</v>
      </c>
      <c r="D1044">
        <v>1</v>
      </c>
      <c r="F1044" s="37" t="s">
        <v>536</v>
      </c>
    </row>
    <row r="1045" spans="2:6" x14ac:dyDescent="0.25">
      <c r="B1045" s="38">
        <v>45946</v>
      </c>
      <c r="C1045" s="36" t="s">
        <v>317</v>
      </c>
      <c r="D1045">
        <v>14</v>
      </c>
      <c r="F1045" s="37" t="s">
        <v>536</v>
      </c>
    </row>
    <row r="1046" spans="2:6" x14ac:dyDescent="0.25">
      <c r="B1046" s="38">
        <v>45946</v>
      </c>
      <c r="C1046" s="36" t="s">
        <v>206</v>
      </c>
      <c r="D1046">
        <v>14</v>
      </c>
      <c r="F1046" s="37" t="s">
        <v>536</v>
      </c>
    </row>
    <row r="1047" spans="2:6" x14ac:dyDescent="0.25">
      <c r="B1047" s="38">
        <v>45946</v>
      </c>
      <c r="C1047" s="36" t="s">
        <v>207</v>
      </c>
      <c r="D1047">
        <v>1</v>
      </c>
      <c r="F1047" s="37" t="s">
        <v>536</v>
      </c>
    </row>
    <row r="1048" spans="2:6" x14ac:dyDescent="0.25">
      <c r="B1048" s="38">
        <v>45946</v>
      </c>
      <c r="C1048" s="36" t="s">
        <v>212</v>
      </c>
      <c r="D1048">
        <v>50</v>
      </c>
      <c r="F1048" s="37" t="s">
        <v>536</v>
      </c>
    </row>
    <row r="1049" spans="2:6" x14ac:dyDescent="0.25">
      <c r="B1049" s="38">
        <v>45946</v>
      </c>
      <c r="C1049" s="36" t="s">
        <v>226</v>
      </c>
      <c r="D1049">
        <v>2</v>
      </c>
      <c r="F1049" s="37" t="s">
        <v>536</v>
      </c>
    </row>
    <row r="1050" spans="2:6" x14ac:dyDescent="0.25">
      <c r="B1050" s="38">
        <v>45946</v>
      </c>
      <c r="C1050" s="36" t="s">
        <v>242</v>
      </c>
      <c r="D1050">
        <v>14</v>
      </c>
      <c r="F1050" s="37" t="s">
        <v>536</v>
      </c>
    </row>
    <row r="1051" spans="2:6" x14ac:dyDescent="0.25">
      <c r="B1051" s="38">
        <v>45946</v>
      </c>
      <c r="C1051" s="36" t="s">
        <v>253</v>
      </c>
      <c r="D1051">
        <v>6</v>
      </c>
      <c r="F1051" s="37" t="s">
        <v>536</v>
      </c>
    </row>
    <row r="1052" spans="2:6" x14ac:dyDescent="0.25">
      <c r="B1052" s="38">
        <v>45946</v>
      </c>
      <c r="C1052" s="36" t="s">
        <v>378</v>
      </c>
      <c r="D1052">
        <v>12</v>
      </c>
      <c r="F1052" s="37" t="s">
        <v>536</v>
      </c>
    </row>
    <row r="1053" spans="2:6" x14ac:dyDescent="0.25">
      <c r="B1053" s="38">
        <v>45946</v>
      </c>
      <c r="C1053" s="36" t="s">
        <v>250</v>
      </c>
      <c r="D1053">
        <v>160</v>
      </c>
      <c r="F1053" s="37" t="s">
        <v>536</v>
      </c>
    </row>
    <row r="1054" spans="2:6" x14ac:dyDescent="0.25">
      <c r="B1054" s="38">
        <v>45946</v>
      </c>
      <c r="C1054" s="36" t="s">
        <v>256</v>
      </c>
      <c r="D1054">
        <v>20</v>
      </c>
      <c r="F1054" s="37" t="s">
        <v>536</v>
      </c>
    </row>
    <row r="1055" spans="2:6" x14ac:dyDescent="0.25">
      <c r="B1055" s="38">
        <v>45946</v>
      </c>
      <c r="C1055" s="36" t="s">
        <v>258</v>
      </c>
      <c r="D1055">
        <v>37</v>
      </c>
      <c r="F1055" s="37" t="s">
        <v>536</v>
      </c>
    </row>
    <row r="1056" spans="2:6" x14ac:dyDescent="0.25">
      <c r="B1056" s="38">
        <v>45946</v>
      </c>
      <c r="C1056" s="36" t="s">
        <v>420</v>
      </c>
      <c r="D1056">
        <v>11</v>
      </c>
      <c r="F1056" s="37" t="s">
        <v>536</v>
      </c>
    </row>
    <row r="1057" spans="2:6" x14ac:dyDescent="0.25">
      <c r="B1057" s="38">
        <v>45946</v>
      </c>
      <c r="C1057" s="36" t="s">
        <v>421</v>
      </c>
      <c r="D1057">
        <v>29</v>
      </c>
      <c r="F1057" s="37" t="s">
        <v>536</v>
      </c>
    </row>
    <row r="1058" spans="2:6" x14ac:dyDescent="0.25">
      <c r="B1058" s="38">
        <v>45946</v>
      </c>
      <c r="C1058" s="36" t="s">
        <v>425</v>
      </c>
      <c r="D1058">
        <v>10</v>
      </c>
      <c r="F1058" s="37" t="s">
        <v>536</v>
      </c>
    </row>
    <row r="1059" spans="2:6" x14ac:dyDescent="0.25">
      <c r="B1059" s="38">
        <v>45946</v>
      </c>
      <c r="C1059" s="36" t="s">
        <v>452</v>
      </c>
      <c r="D1059">
        <v>50</v>
      </c>
      <c r="F1059" s="37" t="s">
        <v>536</v>
      </c>
    </row>
    <row r="1060" spans="2:6" x14ac:dyDescent="0.25">
      <c r="B1060" s="38">
        <v>45946</v>
      </c>
      <c r="C1060" s="36" t="s">
        <v>465</v>
      </c>
      <c r="D1060">
        <v>30</v>
      </c>
      <c r="F1060" s="37" t="s">
        <v>536</v>
      </c>
    </row>
    <row r="1061" spans="2:6" x14ac:dyDescent="0.25">
      <c r="B1061" s="38">
        <v>45946</v>
      </c>
      <c r="C1061" s="36" t="s">
        <v>466</v>
      </c>
      <c r="D1061">
        <v>24</v>
      </c>
      <c r="F1061" s="37" t="s">
        <v>536</v>
      </c>
    </row>
    <row r="1062" spans="2:6" x14ac:dyDescent="0.25">
      <c r="B1062" s="38">
        <v>45946</v>
      </c>
      <c r="C1062" s="36" t="s">
        <v>467</v>
      </c>
      <c r="D1062">
        <v>42</v>
      </c>
      <c r="F1062" s="37" t="s">
        <v>536</v>
      </c>
    </row>
    <row r="1063" spans="2:6" x14ac:dyDescent="0.25">
      <c r="B1063" s="38">
        <v>45946</v>
      </c>
      <c r="C1063" s="36" t="s">
        <v>468</v>
      </c>
      <c r="D1063">
        <v>41</v>
      </c>
      <c r="F1063" s="37" t="s">
        <v>536</v>
      </c>
    </row>
    <row r="1064" spans="2:6" x14ac:dyDescent="0.25">
      <c r="B1064" s="38">
        <v>45946</v>
      </c>
      <c r="C1064" s="36" t="s">
        <v>473</v>
      </c>
      <c r="D1064">
        <v>10</v>
      </c>
      <c r="F1064" s="37" t="s">
        <v>536</v>
      </c>
    </row>
    <row r="1065" spans="2:6" x14ac:dyDescent="0.25">
      <c r="B1065" s="38">
        <v>45946</v>
      </c>
      <c r="C1065" s="36" t="s">
        <v>469</v>
      </c>
      <c r="D1065">
        <v>16</v>
      </c>
      <c r="F1065" s="37" t="s">
        <v>536</v>
      </c>
    </row>
    <row r="1066" spans="2:6" x14ac:dyDescent="0.25">
      <c r="B1066" s="38">
        <v>45946</v>
      </c>
      <c r="C1066" s="36" t="s">
        <v>470</v>
      </c>
      <c r="D1066">
        <v>16</v>
      </c>
      <c r="F1066" s="37" t="s">
        <v>536</v>
      </c>
    </row>
    <row r="1067" spans="2:6" x14ac:dyDescent="0.25">
      <c r="B1067" s="38">
        <v>45946</v>
      </c>
      <c r="C1067" s="36" t="s">
        <v>472</v>
      </c>
      <c r="D1067">
        <v>20</v>
      </c>
      <c r="F1067" s="37" t="s">
        <v>536</v>
      </c>
    </row>
    <row r="1068" spans="2:6" x14ac:dyDescent="0.25">
      <c r="B1068" s="38">
        <v>45946</v>
      </c>
      <c r="C1068" s="36" t="s">
        <v>489</v>
      </c>
      <c r="D1068">
        <v>10</v>
      </c>
      <c r="F1068" s="37" t="s">
        <v>536</v>
      </c>
    </row>
    <row r="1069" spans="2:6" x14ac:dyDescent="0.25">
      <c r="B1069" s="38">
        <v>45946</v>
      </c>
      <c r="C1069" s="36" t="s">
        <v>488</v>
      </c>
      <c r="D1069">
        <v>1</v>
      </c>
      <c r="F1069" s="37" t="s">
        <v>536</v>
      </c>
    </row>
    <row r="1070" spans="2:6" x14ac:dyDescent="0.25">
      <c r="B1070" s="38">
        <v>45946</v>
      </c>
      <c r="C1070" s="36" t="s">
        <v>533</v>
      </c>
      <c r="D1070">
        <v>7</v>
      </c>
      <c r="F1070" s="37" t="s">
        <v>536</v>
      </c>
    </row>
    <row r="1071" spans="2:6" x14ac:dyDescent="0.25">
      <c r="B1071" s="38">
        <v>45946</v>
      </c>
      <c r="C1071" s="36" t="s">
        <v>491</v>
      </c>
      <c r="D1071">
        <v>30</v>
      </c>
      <c r="F1071" s="37" t="s">
        <v>536</v>
      </c>
    </row>
    <row r="1072" spans="2:6" x14ac:dyDescent="0.25">
      <c r="B1072" s="38">
        <v>45946</v>
      </c>
      <c r="C1072" s="36" t="s">
        <v>492</v>
      </c>
      <c r="D1072">
        <v>37</v>
      </c>
      <c r="F1072" s="37" t="s">
        <v>536</v>
      </c>
    </row>
    <row r="1073" spans="2:6" x14ac:dyDescent="0.25">
      <c r="B1073" s="38">
        <v>45946</v>
      </c>
      <c r="C1073" s="36" t="s">
        <v>493</v>
      </c>
      <c r="D1073">
        <v>39</v>
      </c>
      <c r="F1073" s="37" t="s">
        <v>536</v>
      </c>
    </row>
    <row r="1074" spans="2:6" x14ac:dyDescent="0.25">
      <c r="B1074" s="38">
        <v>45946</v>
      </c>
      <c r="C1074" s="36" t="s">
        <v>496</v>
      </c>
      <c r="D1074">
        <v>38</v>
      </c>
      <c r="F1074" s="37" t="s">
        <v>536</v>
      </c>
    </row>
    <row r="1075" spans="2:6" x14ac:dyDescent="0.25">
      <c r="B1075" s="38">
        <v>45946</v>
      </c>
      <c r="C1075" s="36" t="s">
        <v>497</v>
      </c>
      <c r="D1075">
        <v>26</v>
      </c>
      <c r="F1075" s="37" t="s">
        <v>536</v>
      </c>
    </row>
    <row r="1076" spans="2:6" x14ac:dyDescent="0.25">
      <c r="B1076" s="38">
        <v>45946</v>
      </c>
      <c r="C1076" s="36" t="s">
        <v>499</v>
      </c>
      <c r="D1076">
        <v>7</v>
      </c>
      <c r="F1076" s="37" t="s">
        <v>536</v>
      </c>
    </row>
    <row r="1077" spans="2:6" x14ac:dyDescent="0.25">
      <c r="B1077" s="38">
        <v>45946</v>
      </c>
      <c r="C1077" s="36" t="s">
        <v>512</v>
      </c>
      <c r="D1077">
        <v>2</v>
      </c>
      <c r="F1077" s="37" t="s">
        <v>536</v>
      </c>
    </row>
    <row r="1078" spans="2:6" x14ac:dyDescent="0.25">
      <c r="B1078" s="38">
        <v>45946</v>
      </c>
      <c r="C1078" s="36" t="s">
        <v>514</v>
      </c>
      <c r="D1078">
        <v>40</v>
      </c>
      <c r="F1078" s="37" t="s">
        <v>536</v>
      </c>
    </row>
    <row r="1079" spans="2:6" x14ac:dyDescent="0.25">
      <c r="B1079" s="38">
        <v>45946</v>
      </c>
      <c r="C1079" s="36" t="s">
        <v>515</v>
      </c>
      <c r="D1079">
        <v>19</v>
      </c>
      <c r="F1079" s="37" t="s">
        <v>536</v>
      </c>
    </row>
    <row r="1080" spans="2:6" x14ac:dyDescent="0.25">
      <c r="B1080" s="38">
        <v>45946</v>
      </c>
      <c r="C1080" s="36" t="s">
        <v>517</v>
      </c>
      <c r="D1080">
        <v>11</v>
      </c>
      <c r="F1080" s="37" t="s">
        <v>536</v>
      </c>
    </row>
    <row r="1081" spans="2:6" x14ac:dyDescent="0.25">
      <c r="B1081" s="38">
        <v>45946</v>
      </c>
      <c r="C1081" s="36" t="s">
        <v>518</v>
      </c>
      <c r="D1081">
        <v>40</v>
      </c>
      <c r="F1081" s="37" t="s">
        <v>536</v>
      </c>
    </row>
    <row r="1082" spans="2:6" x14ac:dyDescent="0.25">
      <c r="B1082" s="38">
        <v>45946</v>
      </c>
      <c r="C1082" s="36" t="s">
        <v>520</v>
      </c>
      <c r="D1082">
        <v>40</v>
      </c>
      <c r="F1082" s="37" t="s">
        <v>536</v>
      </c>
    </row>
    <row r="1083" spans="2:6" x14ac:dyDescent="0.25">
      <c r="B1083" s="38">
        <v>45946</v>
      </c>
      <c r="C1083" s="36" t="s">
        <v>521</v>
      </c>
      <c r="D1083">
        <v>33</v>
      </c>
      <c r="F1083" s="37" t="s">
        <v>536</v>
      </c>
    </row>
    <row r="1084" spans="2:6" x14ac:dyDescent="0.25">
      <c r="B1084" s="38">
        <v>45946</v>
      </c>
      <c r="C1084" s="36" t="s">
        <v>523</v>
      </c>
      <c r="D1084">
        <v>79</v>
      </c>
      <c r="F1084" s="37" t="s">
        <v>536</v>
      </c>
    </row>
    <row r="1085" spans="2:6" x14ac:dyDescent="0.25">
      <c r="B1085" s="38">
        <v>45946</v>
      </c>
      <c r="C1085" s="36" t="s">
        <v>525</v>
      </c>
      <c r="D1085">
        <v>42</v>
      </c>
      <c r="F1085" s="37" t="s">
        <v>536</v>
      </c>
    </row>
    <row r="1086" spans="2:6" x14ac:dyDescent="0.25">
      <c r="B1086" s="38">
        <v>45946</v>
      </c>
      <c r="C1086" s="36" t="s">
        <v>524</v>
      </c>
      <c r="D1086">
        <v>20</v>
      </c>
      <c r="F1086" s="37" t="s">
        <v>536</v>
      </c>
    </row>
    <row r="1087" spans="2:6" x14ac:dyDescent="0.25">
      <c r="B1087" s="38">
        <v>45946</v>
      </c>
      <c r="C1087" s="36" t="s">
        <v>530</v>
      </c>
      <c r="D1087">
        <v>7</v>
      </c>
      <c r="F1087" s="37" t="s">
        <v>536</v>
      </c>
    </row>
    <row r="1088" spans="2:6" x14ac:dyDescent="0.25">
      <c r="B1088" s="38">
        <v>45946</v>
      </c>
      <c r="C1088" s="36" t="s">
        <v>527</v>
      </c>
      <c r="D1088">
        <v>40</v>
      </c>
      <c r="F1088" s="37" t="s">
        <v>536</v>
      </c>
    </row>
    <row r="1089" spans="2:6" x14ac:dyDescent="0.25">
      <c r="B1089" s="38">
        <v>45946</v>
      </c>
      <c r="C1089" s="36" t="s">
        <v>526</v>
      </c>
      <c r="D1089">
        <v>3</v>
      </c>
      <c r="F1089" s="37" t="s">
        <v>536</v>
      </c>
    </row>
    <row r="1090" spans="2:6" x14ac:dyDescent="0.25">
      <c r="B1090" s="38">
        <v>45946</v>
      </c>
      <c r="C1090" s="36" t="s">
        <v>145</v>
      </c>
      <c r="D1090">
        <v>100</v>
      </c>
      <c r="F1090" s="37" t="s">
        <v>536</v>
      </c>
    </row>
    <row r="1091" spans="2:6" x14ac:dyDescent="0.25">
      <c r="B1091" s="38">
        <v>45947</v>
      </c>
      <c r="C1091" s="36" t="s">
        <v>251</v>
      </c>
      <c r="E1091">
        <v>10</v>
      </c>
      <c r="F1091" s="37"/>
    </row>
    <row r="1092" spans="2:6" x14ac:dyDescent="0.25">
      <c r="B1092" s="38">
        <v>45947</v>
      </c>
      <c r="C1092" s="36" t="s">
        <v>443</v>
      </c>
      <c r="E1092">
        <v>3</v>
      </c>
      <c r="F1092" s="37"/>
    </row>
    <row r="1093" spans="2:6" x14ac:dyDescent="0.25">
      <c r="B1093" s="38">
        <v>45947</v>
      </c>
      <c r="C1093" s="36" t="s">
        <v>160</v>
      </c>
      <c r="E1093">
        <v>2</v>
      </c>
      <c r="F1093" s="37"/>
    </row>
    <row r="1094" spans="2:6" x14ac:dyDescent="0.25">
      <c r="B1094" s="38">
        <v>45947</v>
      </c>
      <c r="C1094" s="36" t="s">
        <v>465</v>
      </c>
      <c r="E1094">
        <v>10</v>
      </c>
      <c r="F1094" s="37"/>
    </row>
    <row r="1095" spans="2:6" x14ac:dyDescent="0.25">
      <c r="B1095" s="38">
        <v>45948</v>
      </c>
      <c r="C1095" s="36" t="s">
        <v>443</v>
      </c>
      <c r="D1095">
        <v>25</v>
      </c>
      <c r="F1095" s="37" t="s">
        <v>481</v>
      </c>
    </row>
    <row r="1096" spans="2:6" x14ac:dyDescent="0.25">
      <c r="B1096" s="38">
        <v>45948</v>
      </c>
      <c r="C1096" s="36" t="s">
        <v>445</v>
      </c>
      <c r="D1096">
        <v>25</v>
      </c>
      <c r="F1096" s="37" t="s">
        <v>481</v>
      </c>
    </row>
    <row r="1097" spans="2:6" x14ac:dyDescent="0.25">
      <c r="B1097" s="38">
        <v>45948</v>
      </c>
      <c r="C1097" s="36" t="s">
        <v>502</v>
      </c>
      <c r="D1097">
        <v>10</v>
      </c>
      <c r="F1097" s="37" t="s">
        <v>481</v>
      </c>
    </row>
    <row r="1098" spans="2:6" x14ac:dyDescent="0.25">
      <c r="B1098" s="38">
        <v>45948</v>
      </c>
      <c r="C1098" s="36" t="s">
        <v>537</v>
      </c>
      <c r="D1098">
        <v>10</v>
      </c>
      <c r="F1098" s="37" t="s">
        <v>481</v>
      </c>
    </row>
    <row r="1099" spans="2:6" x14ac:dyDescent="0.25">
      <c r="B1099" s="38">
        <v>45950</v>
      </c>
      <c r="C1099" s="36" t="s">
        <v>490</v>
      </c>
      <c r="E1099">
        <v>5</v>
      </c>
      <c r="F1099" s="37"/>
    </row>
    <row r="1100" spans="2:6" x14ac:dyDescent="0.25">
      <c r="B1100" s="38">
        <v>45950</v>
      </c>
      <c r="C1100" s="36" t="s">
        <v>497</v>
      </c>
      <c r="E1100">
        <v>10</v>
      </c>
      <c r="F1100" s="37"/>
    </row>
    <row r="1101" spans="2:6" x14ac:dyDescent="0.25">
      <c r="B1101" s="38">
        <v>45950</v>
      </c>
      <c r="C1101" s="36" t="s">
        <v>493</v>
      </c>
      <c r="E1101">
        <v>9</v>
      </c>
      <c r="F1101" s="37"/>
    </row>
    <row r="1102" spans="2:6" x14ac:dyDescent="0.25">
      <c r="B1102" s="38">
        <v>45950</v>
      </c>
      <c r="C1102" s="36" t="s">
        <v>492</v>
      </c>
      <c r="E1102">
        <v>5</v>
      </c>
      <c r="F1102" s="37"/>
    </row>
    <row r="1103" spans="2:6" x14ac:dyDescent="0.25">
      <c r="B1103" s="38">
        <v>45950</v>
      </c>
      <c r="C1103" s="36" t="s">
        <v>420</v>
      </c>
      <c r="E1103">
        <v>10</v>
      </c>
      <c r="F1103" s="37"/>
    </row>
    <row r="1104" spans="2:6" x14ac:dyDescent="0.25">
      <c r="B1104" s="38">
        <v>45950</v>
      </c>
      <c r="C1104" s="36" t="s">
        <v>419</v>
      </c>
      <c r="E1104">
        <v>10</v>
      </c>
      <c r="F1104" s="37"/>
    </row>
    <row r="1105" spans="2:6" x14ac:dyDescent="0.25">
      <c r="B1105" s="38">
        <v>45950</v>
      </c>
      <c r="C1105" s="36" t="s">
        <v>145</v>
      </c>
      <c r="E1105">
        <v>10</v>
      </c>
      <c r="F1105" s="37"/>
    </row>
    <row r="1106" spans="2:6" x14ac:dyDescent="0.25">
      <c r="B1106" s="38">
        <v>45950</v>
      </c>
      <c r="C1106" s="36" t="s">
        <v>452</v>
      </c>
      <c r="E1106">
        <v>10</v>
      </c>
      <c r="F1106" s="37"/>
    </row>
    <row r="1107" spans="2:6" x14ac:dyDescent="0.25">
      <c r="B1107" s="38">
        <v>45950</v>
      </c>
      <c r="C1107" s="36" t="s">
        <v>429</v>
      </c>
      <c r="E1107">
        <v>10</v>
      </c>
      <c r="F1107" s="37"/>
    </row>
    <row r="1108" spans="2:6" x14ac:dyDescent="0.25">
      <c r="B1108" s="38">
        <v>45950</v>
      </c>
      <c r="C1108" s="36" t="s">
        <v>232</v>
      </c>
      <c r="E1108">
        <v>2</v>
      </c>
      <c r="F1108" s="37"/>
    </row>
    <row r="1109" spans="2:6" x14ac:dyDescent="0.25">
      <c r="B1109" s="38">
        <v>45950</v>
      </c>
      <c r="C1109" s="36" t="s">
        <v>525</v>
      </c>
      <c r="E1109">
        <v>20</v>
      </c>
      <c r="F1109" s="37"/>
    </row>
    <row r="1110" spans="2:6" x14ac:dyDescent="0.25">
      <c r="B1110" s="38">
        <v>45950</v>
      </c>
      <c r="C1110" s="36" t="s">
        <v>472</v>
      </c>
      <c r="E1110">
        <v>10</v>
      </c>
      <c r="F1110" s="37"/>
    </row>
    <row r="1111" spans="2:6" x14ac:dyDescent="0.25">
      <c r="B1111" s="38">
        <v>45950</v>
      </c>
      <c r="C1111" s="36" t="s">
        <v>289</v>
      </c>
      <c r="E1111">
        <v>1</v>
      </c>
      <c r="F1111" s="37"/>
    </row>
    <row r="1112" spans="2:6" x14ac:dyDescent="0.25">
      <c r="B1112" s="38">
        <v>45950</v>
      </c>
      <c r="C1112" s="36" t="s">
        <v>280</v>
      </c>
      <c r="E1112">
        <v>1</v>
      </c>
      <c r="F1112" s="37"/>
    </row>
    <row r="1113" spans="2:6" x14ac:dyDescent="0.25">
      <c r="B1113" s="38">
        <v>45950</v>
      </c>
      <c r="C1113" s="36" t="s">
        <v>251</v>
      </c>
      <c r="E1113">
        <v>20</v>
      </c>
      <c r="F1113" s="37"/>
    </row>
    <row r="1114" spans="2:6" x14ac:dyDescent="0.25">
      <c r="B1114" s="38">
        <v>45950</v>
      </c>
      <c r="C1114" s="36" t="s">
        <v>468</v>
      </c>
      <c r="E1114">
        <v>10</v>
      </c>
      <c r="F1114" s="37"/>
    </row>
    <row r="1115" spans="2:6" x14ac:dyDescent="0.25">
      <c r="B1115" s="38">
        <v>45950</v>
      </c>
      <c r="C1115" s="36" t="s">
        <v>496</v>
      </c>
      <c r="E1115">
        <v>10</v>
      </c>
      <c r="F1115" s="37"/>
    </row>
    <row r="1116" spans="2:6" x14ac:dyDescent="0.25">
      <c r="B1116" s="38">
        <v>45950</v>
      </c>
      <c r="C1116" s="36" t="s">
        <v>499</v>
      </c>
      <c r="E1116">
        <v>5</v>
      </c>
      <c r="F1116" s="37"/>
    </row>
    <row r="1117" spans="2:6" x14ac:dyDescent="0.25">
      <c r="B1117" s="38">
        <v>45950</v>
      </c>
      <c r="C1117" s="36" t="s">
        <v>443</v>
      </c>
      <c r="E1117">
        <v>5</v>
      </c>
      <c r="F1117" s="37"/>
    </row>
    <row r="1118" spans="2:6" x14ac:dyDescent="0.25">
      <c r="B1118" s="38">
        <v>45950</v>
      </c>
      <c r="C1118" s="36" t="s">
        <v>502</v>
      </c>
      <c r="E1118">
        <v>5</v>
      </c>
      <c r="F1118" s="37"/>
    </row>
    <row r="1119" spans="2:6" x14ac:dyDescent="0.25">
      <c r="B1119" s="38">
        <v>45950</v>
      </c>
      <c r="C1119" s="36" t="s">
        <v>471</v>
      </c>
      <c r="E1119">
        <v>5</v>
      </c>
      <c r="F1119" s="37"/>
    </row>
    <row r="1120" spans="2:6" x14ac:dyDescent="0.25">
      <c r="B1120" s="38">
        <v>45950</v>
      </c>
      <c r="C1120" s="36" t="s">
        <v>537</v>
      </c>
      <c r="E1120">
        <v>5</v>
      </c>
      <c r="F1120" s="37"/>
    </row>
    <row r="1121" spans="2:6" x14ac:dyDescent="0.25">
      <c r="B1121" s="38">
        <v>45950</v>
      </c>
      <c r="C1121" s="36" t="s">
        <v>285</v>
      </c>
      <c r="E1121">
        <v>5</v>
      </c>
      <c r="F1121" s="37"/>
    </row>
    <row r="1122" spans="2:6" x14ac:dyDescent="0.25">
      <c r="B1122" s="38">
        <v>45950</v>
      </c>
      <c r="C1122" s="36" t="s">
        <v>445</v>
      </c>
      <c r="E1122">
        <v>5</v>
      </c>
      <c r="F1122" s="37"/>
    </row>
    <row r="1123" spans="2:6" x14ac:dyDescent="0.25">
      <c r="B1123" s="38">
        <v>45950</v>
      </c>
      <c r="C1123" s="36" t="s">
        <v>514</v>
      </c>
      <c r="E1123">
        <v>5</v>
      </c>
      <c r="F1123" s="37"/>
    </row>
    <row r="1124" spans="2:6" x14ac:dyDescent="0.25">
      <c r="B1124" s="38">
        <v>45950</v>
      </c>
      <c r="C1124" s="36" t="s">
        <v>489</v>
      </c>
      <c r="E1124">
        <v>5</v>
      </c>
      <c r="F1124" s="37"/>
    </row>
    <row r="1125" spans="2:6" x14ac:dyDescent="0.25">
      <c r="B1125" s="38">
        <v>45950</v>
      </c>
      <c r="C1125" s="36" t="s">
        <v>421</v>
      </c>
      <c r="E1125">
        <v>10</v>
      </c>
      <c r="F1125" s="37"/>
    </row>
    <row r="1126" spans="2:6" x14ac:dyDescent="0.25">
      <c r="B1126" s="38">
        <v>45951</v>
      </c>
      <c r="C1126" s="36" t="s">
        <v>240</v>
      </c>
      <c r="D1126">
        <v>20</v>
      </c>
      <c r="F1126" s="37" t="s">
        <v>509</v>
      </c>
    </row>
    <row r="1127" spans="2:6" x14ac:dyDescent="0.25">
      <c r="B1127" s="38">
        <v>45951</v>
      </c>
      <c r="C1127" s="36" t="s">
        <v>171</v>
      </c>
      <c r="D1127">
        <v>50</v>
      </c>
      <c r="F1127" s="37" t="s">
        <v>509</v>
      </c>
    </row>
    <row r="1128" spans="2:6" x14ac:dyDescent="0.25">
      <c r="B1128" s="38">
        <v>45951</v>
      </c>
      <c r="C1128" s="36" t="s">
        <v>125</v>
      </c>
      <c r="D1128">
        <v>30</v>
      </c>
      <c r="F1128" s="37" t="s">
        <v>509</v>
      </c>
    </row>
    <row r="1129" spans="2:6" x14ac:dyDescent="0.25">
      <c r="B1129" s="38">
        <v>45951</v>
      </c>
      <c r="C1129" s="36" t="s">
        <v>234</v>
      </c>
      <c r="D1129">
        <v>10</v>
      </c>
      <c r="F1129" s="37" t="s">
        <v>509</v>
      </c>
    </row>
    <row r="1130" spans="2:6" x14ac:dyDescent="0.25">
      <c r="B1130" s="38">
        <v>45951</v>
      </c>
      <c r="C1130" s="36" t="s">
        <v>235</v>
      </c>
      <c r="D1130">
        <v>10</v>
      </c>
      <c r="F1130" s="37" t="s">
        <v>509</v>
      </c>
    </row>
    <row r="1131" spans="2:6" x14ac:dyDescent="0.25">
      <c r="B1131" s="38">
        <v>45951</v>
      </c>
      <c r="C1131" s="36" t="s">
        <v>494</v>
      </c>
      <c r="D1131">
        <v>3</v>
      </c>
      <c r="F1131" s="37" t="s">
        <v>509</v>
      </c>
    </row>
    <row r="1132" spans="2:6" x14ac:dyDescent="0.25">
      <c r="B1132" s="38">
        <v>45951</v>
      </c>
      <c r="C1132" s="36" t="s">
        <v>251</v>
      </c>
      <c r="E1132">
        <v>20</v>
      </c>
      <c r="F1132" s="37"/>
    </row>
    <row r="1133" spans="2:6" x14ac:dyDescent="0.25">
      <c r="B1133" s="38">
        <v>45951</v>
      </c>
      <c r="C1133" s="36" t="s">
        <v>445</v>
      </c>
      <c r="E1133">
        <v>5</v>
      </c>
      <c r="F1133" s="37"/>
    </row>
    <row r="1134" spans="2:6" x14ac:dyDescent="0.25">
      <c r="B1134" s="38">
        <v>45952</v>
      </c>
      <c r="C1134" s="36" t="s">
        <v>497</v>
      </c>
      <c r="E1134">
        <v>10</v>
      </c>
      <c r="F1134" s="37"/>
    </row>
    <row r="1135" spans="2:6" x14ac:dyDescent="0.25">
      <c r="B1135" s="38">
        <v>45952</v>
      </c>
      <c r="C1135" s="36" t="s">
        <v>490</v>
      </c>
      <c r="E1135">
        <v>5</v>
      </c>
      <c r="F1135" s="37"/>
    </row>
    <row r="1136" spans="2:6" x14ac:dyDescent="0.25">
      <c r="B1136" s="38">
        <v>45952</v>
      </c>
      <c r="C1136" s="36" t="s">
        <v>493</v>
      </c>
      <c r="E1136">
        <v>10</v>
      </c>
      <c r="F1136" s="37"/>
    </row>
    <row r="1137" spans="2:6" x14ac:dyDescent="0.25">
      <c r="B1137" s="38">
        <v>45953</v>
      </c>
      <c r="C1137" s="36" t="s">
        <v>251</v>
      </c>
      <c r="E1137">
        <v>20</v>
      </c>
      <c r="F1137" s="37"/>
    </row>
    <row r="1138" spans="2:6" x14ac:dyDescent="0.25">
      <c r="B1138" s="38">
        <v>45953</v>
      </c>
      <c r="C1138" s="36" t="s">
        <v>525</v>
      </c>
      <c r="E1138">
        <v>10</v>
      </c>
      <c r="F1138" s="37"/>
    </row>
    <row r="1139" spans="2:6" x14ac:dyDescent="0.25">
      <c r="B1139" s="38">
        <v>45953</v>
      </c>
      <c r="C1139" s="36" t="s">
        <v>419</v>
      </c>
      <c r="E1139">
        <v>10</v>
      </c>
      <c r="F1139" s="37"/>
    </row>
    <row r="1140" spans="2:6" x14ac:dyDescent="0.25">
      <c r="B1140" s="38">
        <v>45953</v>
      </c>
      <c r="C1140" s="36" t="s">
        <v>125</v>
      </c>
      <c r="E1140">
        <v>10</v>
      </c>
      <c r="F1140" s="37"/>
    </row>
    <row r="1141" spans="2:6" x14ac:dyDescent="0.25">
      <c r="B1141" s="38">
        <v>45953</v>
      </c>
      <c r="C1141" s="36" t="s">
        <v>406</v>
      </c>
      <c r="E1141">
        <v>1</v>
      </c>
      <c r="F1141" s="37" t="s">
        <v>462</v>
      </c>
    </row>
    <row r="1142" spans="2:6" x14ac:dyDescent="0.25">
      <c r="B1142" s="38">
        <v>45953</v>
      </c>
      <c r="C1142" s="36" t="s">
        <v>295</v>
      </c>
      <c r="D1142">
        <v>1</v>
      </c>
      <c r="F1142" s="37" t="s">
        <v>500</v>
      </c>
    </row>
    <row r="1143" spans="2:6" x14ac:dyDescent="0.25">
      <c r="B1143" s="38">
        <v>45954</v>
      </c>
      <c r="C1143" s="36" t="s">
        <v>445</v>
      </c>
      <c r="E1143">
        <v>5</v>
      </c>
      <c r="F1143" s="37"/>
    </row>
    <row r="1144" spans="2:6" x14ac:dyDescent="0.25">
      <c r="B1144" s="38">
        <v>45954</v>
      </c>
      <c r="C1144" s="36" t="s">
        <v>443</v>
      </c>
      <c r="E1144">
        <v>5</v>
      </c>
      <c r="F1144" s="37"/>
    </row>
    <row r="1145" spans="2:6" x14ac:dyDescent="0.25">
      <c r="B1145" s="38">
        <v>45954</v>
      </c>
      <c r="C1145" s="36" t="s">
        <v>493</v>
      </c>
      <c r="E1145">
        <v>5</v>
      </c>
      <c r="F1145" s="37"/>
    </row>
    <row r="1146" spans="2:6" x14ac:dyDescent="0.25">
      <c r="B1146" s="38">
        <v>45954</v>
      </c>
      <c r="C1146" s="36" t="s">
        <v>492</v>
      </c>
      <c r="E1146">
        <v>5</v>
      </c>
      <c r="F1146" s="37"/>
    </row>
    <row r="1147" spans="2:6" x14ac:dyDescent="0.25">
      <c r="B1147" s="38">
        <v>45954</v>
      </c>
      <c r="C1147" s="36" t="s">
        <v>480</v>
      </c>
      <c r="E1147">
        <v>5</v>
      </c>
      <c r="F1147" s="37"/>
    </row>
    <row r="1148" spans="2:6" x14ac:dyDescent="0.25">
      <c r="B1148" s="38">
        <v>45954</v>
      </c>
      <c r="C1148" s="36" t="s">
        <v>171</v>
      </c>
      <c r="E1148">
        <v>5</v>
      </c>
      <c r="F1148" s="37"/>
    </row>
    <row r="1149" spans="2:6" x14ac:dyDescent="0.25">
      <c r="B1149" s="38">
        <v>45954</v>
      </c>
      <c r="C1149" s="36" t="s">
        <v>489</v>
      </c>
      <c r="E1149">
        <v>5</v>
      </c>
      <c r="F1149" s="37"/>
    </row>
    <row r="1150" spans="2:6" x14ac:dyDescent="0.25">
      <c r="B1150" s="38">
        <v>45954</v>
      </c>
      <c r="C1150" s="36" t="s">
        <v>472</v>
      </c>
      <c r="E1150">
        <v>5</v>
      </c>
      <c r="F1150" s="37"/>
    </row>
    <row r="1151" spans="2:6" x14ac:dyDescent="0.25">
      <c r="B1151" s="38">
        <v>45954</v>
      </c>
      <c r="C1151" s="36" t="s">
        <v>490</v>
      </c>
      <c r="E1151">
        <v>10</v>
      </c>
      <c r="F1151" s="37"/>
    </row>
    <row r="1152" spans="2:6" x14ac:dyDescent="0.25">
      <c r="B1152" s="38">
        <v>45954</v>
      </c>
      <c r="C1152" s="36" t="s">
        <v>251</v>
      </c>
      <c r="E1152">
        <v>20</v>
      </c>
      <c r="F1152" s="37"/>
    </row>
    <row r="1153" spans="2:6" x14ac:dyDescent="0.25">
      <c r="B1153" s="38">
        <v>45955</v>
      </c>
      <c r="C1153" s="36" t="s">
        <v>145</v>
      </c>
      <c r="E1153">
        <v>10</v>
      </c>
      <c r="F1153" s="37"/>
    </row>
    <row r="1154" spans="2:6" x14ac:dyDescent="0.25">
      <c r="B1154" s="38">
        <v>45955</v>
      </c>
      <c r="C1154" s="36" t="s">
        <v>420</v>
      </c>
      <c r="E1154">
        <v>6</v>
      </c>
      <c r="F1154" s="37"/>
    </row>
    <row r="1155" spans="2:6" x14ac:dyDescent="0.25">
      <c r="B1155" s="38">
        <v>45955</v>
      </c>
      <c r="C1155" s="36" t="s">
        <v>419</v>
      </c>
      <c r="E1155">
        <v>10</v>
      </c>
      <c r="F1155" s="37"/>
    </row>
    <row r="1156" spans="2:6" x14ac:dyDescent="0.25">
      <c r="B1156" s="38">
        <v>45955</v>
      </c>
      <c r="C1156" s="36" t="s">
        <v>142</v>
      </c>
      <c r="E1156">
        <v>7</v>
      </c>
      <c r="F1156" s="37"/>
    </row>
    <row r="1157" spans="2:6" x14ac:dyDescent="0.25">
      <c r="B1157" s="38">
        <v>45955</v>
      </c>
      <c r="C1157" s="36" t="s">
        <v>421</v>
      </c>
      <c r="E1157">
        <v>5</v>
      </c>
      <c r="F1157" s="37"/>
    </row>
    <row r="1158" spans="2:6" x14ac:dyDescent="0.25">
      <c r="B1158" s="38">
        <v>45955</v>
      </c>
      <c r="C1158" s="36" t="s">
        <v>138</v>
      </c>
      <c r="E1158">
        <v>1</v>
      </c>
      <c r="F1158" s="37"/>
    </row>
    <row r="1159" spans="2:6" x14ac:dyDescent="0.25">
      <c r="B1159" s="38">
        <v>45955</v>
      </c>
      <c r="C1159" s="36" t="s">
        <v>140</v>
      </c>
      <c r="E1159">
        <v>5</v>
      </c>
      <c r="F1159" s="37"/>
    </row>
    <row r="1160" spans="2:6" x14ac:dyDescent="0.25">
      <c r="B1160" s="38">
        <v>45955</v>
      </c>
      <c r="C1160" s="36" t="s">
        <v>397</v>
      </c>
      <c r="E1160">
        <v>10</v>
      </c>
      <c r="F1160" s="37"/>
    </row>
    <row r="1161" spans="2:6" x14ac:dyDescent="0.25">
      <c r="B1161" s="38">
        <v>45955</v>
      </c>
      <c r="C1161" s="36" t="s">
        <v>146</v>
      </c>
      <c r="E1161">
        <v>5</v>
      </c>
      <c r="F1161" s="37"/>
    </row>
    <row r="1162" spans="2:6" x14ac:dyDescent="0.25">
      <c r="B1162" s="38">
        <v>45955</v>
      </c>
      <c r="C1162" s="36" t="s">
        <v>486</v>
      </c>
      <c r="E1162">
        <v>1</v>
      </c>
      <c r="F1162" s="37"/>
    </row>
    <row r="1163" spans="2:6" x14ac:dyDescent="0.25">
      <c r="B1163" s="38">
        <v>45955</v>
      </c>
      <c r="C1163" s="36" t="s">
        <v>378</v>
      </c>
      <c r="E1163">
        <v>2</v>
      </c>
      <c r="F1163" s="37"/>
    </row>
    <row r="1164" spans="2:6" x14ac:dyDescent="0.25">
      <c r="B1164" s="38">
        <v>45955</v>
      </c>
      <c r="C1164" s="36" t="s">
        <v>256</v>
      </c>
      <c r="E1164">
        <v>2</v>
      </c>
      <c r="F1164" s="37"/>
    </row>
    <row r="1165" spans="2:6" x14ac:dyDescent="0.25">
      <c r="B1165" s="38">
        <v>45955</v>
      </c>
      <c r="C1165" s="36" t="s">
        <v>432</v>
      </c>
      <c r="E1165">
        <v>2</v>
      </c>
      <c r="F1165" s="37"/>
    </row>
    <row r="1166" spans="2:6" x14ac:dyDescent="0.25">
      <c r="B1166" s="38">
        <v>45955</v>
      </c>
      <c r="C1166" s="36" t="s">
        <v>471</v>
      </c>
      <c r="E1166">
        <v>5</v>
      </c>
      <c r="F1166" s="37"/>
    </row>
    <row r="1167" spans="2:6" x14ac:dyDescent="0.25">
      <c r="B1167" s="38">
        <v>45955</v>
      </c>
      <c r="C1167" s="36" t="s">
        <v>117</v>
      </c>
      <c r="E1167">
        <v>10</v>
      </c>
      <c r="F1167" s="37"/>
    </row>
    <row r="1168" spans="2:6" x14ac:dyDescent="0.25">
      <c r="B1168" s="38">
        <v>45955</v>
      </c>
      <c r="C1168" s="36" t="s">
        <v>124</v>
      </c>
      <c r="E1168">
        <v>10</v>
      </c>
      <c r="F1168" s="37"/>
    </row>
    <row r="1169" spans="2:6" x14ac:dyDescent="0.25">
      <c r="B1169" s="38">
        <v>45955</v>
      </c>
      <c r="C1169" s="36" t="s">
        <v>173</v>
      </c>
      <c r="E1169">
        <v>5</v>
      </c>
      <c r="F1169" s="37"/>
    </row>
    <row r="1170" spans="2:6" x14ac:dyDescent="0.25">
      <c r="B1170" s="38">
        <v>45957</v>
      </c>
      <c r="C1170" s="36" t="s">
        <v>258</v>
      </c>
      <c r="E1170">
        <v>10</v>
      </c>
      <c r="F1170" s="37"/>
    </row>
    <row r="1171" spans="2:6" x14ac:dyDescent="0.25">
      <c r="B1171" s="38">
        <v>45957</v>
      </c>
      <c r="C1171" s="36" t="s">
        <v>525</v>
      </c>
      <c r="D1171">
        <v>30</v>
      </c>
      <c r="F1171" s="37" t="s">
        <v>536</v>
      </c>
    </row>
    <row r="1172" spans="2:6" x14ac:dyDescent="0.25">
      <c r="B1172" s="38">
        <v>45957</v>
      </c>
      <c r="C1172" s="36" t="s">
        <v>251</v>
      </c>
      <c r="E1172">
        <v>10</v>
      </c>
      <c r="F1172" s="37"/>
    </row>
    <row r="1173" spans="2:6" x14ac:dyDescent="0.25">
      <c r="B1173" s="38">
        <v>45957</v>
      </c>
      <c r="C1173" s="36" t="s">
        <v>145</v>
      </c>
      <c r="E1173">
        <v>10</v>
      </c>
      <c r="F1173" s="37"/>
    </row>
    <row r="1174" spans="2:6" x14ac:dyDescent="0.25">
      <c r="B1174" s="38">
        <v>45957</v>
      </c>
      <c r="C1174" s="36" t="s">
        <v>525</v>
      </c>
      <c r="E1174">
        <v>10</v>
      </c>
      <c r="F1174" s="37"/>
    </row>
    <row r="1175" spans="2:6" x14ac:dyDescent="0.25">
      <c r="B1175" s="38">
        <v>45957</v>
      </c>
      <c r="C1175" s="36" t="s">
        <v>491</v>
      </c>
      <c r="E1175">
        <v>5</v>
      </c>
      <c r="F1175" s="37"/>
    </row>
    <row r="1176" spans="2:6" x14ac:dyDescent="0.25">
      <c r="B1176" s="38">
        <v>45957</v>
      </c>
      <c r="C1176" s="36" t="s">
        <v>493</v>
      </c>
      <c r="E1176">
        <v>5</v>
      </c>
      <c r="F1176" s="37"/>
    </row>
    <row r="1177" spans="2:6" x14ac:dyDescent="0.25">
      <c r="B1177" s="38">
        <v>45957</v>
      </c>
      <c r="C1177" s="36" t="s">
        <v>492</v>
      </c>
      <c r="E1177">
        <v>5</v>
      </c>
      <c r="F1177" s="37"/>
    </row>
    <row r="1178" spans="2:6" x14ac:dyDescent="0.25">
      <c r="B1178" s="38">
        <v>45957</v>
      </c>
      <c r="C1178" s="36" t="s">
        <v>489</v>
      </c>
      <c r="E1178">
        <v>5</v>
      </c>
      <c r="F1178" s="37"/>
    </row>
    <row r="1179" spans="2:6" x14ac:dyDescent="0.25">
      <c r="B1179" s="38">
        <v>45957</v>
      </c>
      <c r="C1179" s="36" t="s">
        <v>419</v>
      </c>
      <c r="E1179">
        <v>10</v>
      </c>
      <c r="F1179" s="37"/>
    </row>
    <row r="1180" spans="2:6" x14ac:dyDescent="0.25">
      <c r="B1180" s="38">
        <v>45957</v>
      </c>
      <c r="C1180" s="36" t="s">
        <v>240</v>
      </c>
      <c r="E1180">
        <v>5</v>
      </c>
      <c r="F1180" s="37"/>
    </row>
    <row r="1181" spans="2:6" x14ac:dyDescent="0.25">
      <c r="B1181" s="38">
        <v>45957</v>
      </c>
      <c r="C1181" s="36" t="s">
        <v>480</v>
      </c>
      <c r="E1181">
        <v>5</v>
      </c>
      <c r="F1181" s="37"/>
    </row>
    <row r="1182" spans="2:6" x14ac:dyDescent="0.25">
      <c r="B1182" s="38">
        <v>45958</v>
      </c>
      <c r="C1182" s="36" t="s">
        <v>434</v>
      </c>
      <c r="E1182">
        <v>3</v>
      </c>
      <c r="F1182" s="37"/>
    </row>
    <row r="1183" spans="2:6" x14ac:dyDescent="0.25">
      <c r="B1183" s="38">
        <v>45958</v>
      </c>
      <c r="C1183" s="36" t="s">
        <v>525</v>
      </c>
      <c r="E1183">
        <v>5</v>
      </c>
      <c r="F1183" s="37"/>
    </row>
    <row r="1184" spans="2:6" x14ac:dyDescent="0.25">
      <c r="B1184" s="38">
        <v>45958</v>
      </c>
      <c r="C1184" s="36" t="s">
        <v>472</v>
      </c>
      <c r="E1184">
        <v>5</v>
      </c>
      <c r="F1184" s="37"/>
    </row>
    <row r="1185" spans="2:6" x14ac:dyDescent="0.25">
      <c r="B1185" s="38">
        <v>45958</v>
      </c>
      <c r="C1185" s="36" t="s">
        <v>527</v>
      </c>
      <c r="E1185">
        <v>5</v>
      </c>
      <c r="F1185" s="37"/>
    </row>
    <row r="1186" spans="2:6" x14ac:dyDescent="0.25">
      <c r="B1186" s="38">
        <v>45958</v>
      </c>
      <c r="C1186" s="36" t="s">
        <v>445</v>
      </c>
      <c r="E1186">
        <v>3</v>
      </c>
      <c r="F1186" s="37"/>
    </row>
    <row r="1187" spans="2:6" x14ac:dyDescent="0.25">
      <c r="B1187" s="38">
        <v>45958</v>
      </c>
      <c r="C1187" s="36" t="s">
        <v>497</v>
      </c>
      <c r="E1187">
        <v>10</v>
      </c>
      <c r="F1187" s="37"/>
    </row>
    <row r="1188" spans="2:6" x14ac:dyDescent="0.25">
      <c r="B1188" s="38">
        <v>45958</v>
      </c>
      <c r="C1188" s="36" t="s">
        <v>533</v>
      </c>
      <c r="D1188">
        <v>3</v>
      </c>
      <c r="F1188" s="37" t="s">
        <v>536</v>
      </c>
    </row>
    <row r="1189" spans="2:6" x14ac:dyDescent="0.25">
      <c r="B1189" s="38">
        <v>45958</v>
      </c>
      <c r="C1189" s="36" t="s">
        <v>138</v>
      </c>
      <c r="E1189">
        <v>1</v>
      </c>
      <c r="F1189" s="37"/>
    </row>
    <row r="1190" spans="2:6" x14ac:dyDescent="0.25">
      <c r="B1190" s="38">
        <v>45959</v>
      </c>
      <c r="C1190" s="36" t="s">
        <v>445</v>
      </c>
      <c r="E1190">
        <v>3</v>
      </c>
      <c r="F1190" s="37"/>
    </row>
    <row r="1191" spans="2:6" x14ac:dyDescent="0.25">
      <c r="B1191" s="38">
        <v>45959</v>
      </c>
      <c r="C1191" s="36" t="s">
        <v>443</v>
      </c>
      <c r="E1191">
        <v>5</v>
      </c>
      <c r="F1191" s="37"/>
    </row>
    <row r="1192" spans="2:6" x14ac:dyDescent="0.25">
      <c r="B1192" s="38">
        <v>45959</v>
      </c>
      <c r="C1192" s="36" t="s">
        <v>432</v>
      </c>
      <c r="E1192">
        <v>4</v>
      </c>
      <c r="F1192" s="37"/>
    </row>
    <row r="1193" spans="2:6" x14ac:dyDescent="0.25">
      <c r="B1193" s="38">
        <v>45959</v>
      </c>
      <c r="C1193" s="36" t="s">
        <v>488</v>
      </c>
      <c r="E1193">
        <v>5</v>
      </c>
      <c r="F1193" s="37"/>
    </row>
    <row r="1194" spans="2:6" x14ac:dyDescent="0.25">
      <c r="B1194" s="38">
        <v>45959</v>
      </c>
      <c r="C1194" s="36" t="s">
        <v>493</v>
      </c>
      <c r="E1194">
        <v>5</v>
      </c>
      <c r="F1194" s="37"/>
    </row>
    <row r="1195" spans="2:6" x14ac:dyDescent="0.25">
      <c r="B1195" s="38">
        <v>45959</v>
      </c>
      <c r="C1195" s="36" t="s">
        <v>258</v>
      </c>
      <c r="E1195">
        <v>10</v>
      </c>
      <c r="F1195" s="37"/>
    </row>
    <row r="1196" spans="2:6" x14ac:dyDescent="0.25">
      <c r="B1196" s="38">
        <v>45959</v>
      </c>
      <c r="C1196" s="36" t="s">
        <v>171</v>
      </c>
      <c r="E1196">
        <v>5</v>
      </c>
      <c r="F1196" s="37"/>
    </row>
    <row r="1197" spans="2:6" x14ac:dyDescent="0.25">
      <c r="B1197" s="38">
        <v>45959</v>
      </c>
      <c r="C1197" s="36" t="s">
        <v>421</v>
      </c>
      <c r="E1197">
        <v>10</v>
      </c>
      <c r="F1197" s="37"/>
    </row>
    <row r="1198" spans="2:6" x14ac:dyDescent="0.25">
      <c r="B1198" s="38">
        <v>45959</v>
      </c>
      <c r="C1198" s="36" t="s">
        <v>145</v>
      </c>
      <c r="E1198">
        <v>10</v>
      </c>
      <c r="F1198" s="37"/>
    </row>
    <row r="1199" spans="2:6" x14ac:dyDescent="0.25">
      <c r="B1199" s="38">
        <v>45959</v>
      </c>
      <c r="C1199" s="36" t="s">
        <v>290</v>
      </c>
      <c r="E1199">
        <v>1</v>
      </c>
      <c r="F1199" s="37"/>
    </row>
    <row r="1200" spans="2:6" x14ac:dyDescent="0.25">
      <c r="B1200" s="38">
        <v>45959</v>
      </c>
      <c r="C1200" s="36" t="s">
        <v>289</v>
      </c>
      <c r="E1200">
        <v>1</v>
      </c>
      <c r="F1200" s="37"/>
    </row>
    <row r="1201" spans="2:6" x14ac:dyDescent="0.25">
      <c r="B1201" s="38">
        <v>45960</v>
      </c>
      <c r="C1201" s="36" t="s">
        <v>525</v>
      </c>
      <c r="E1201">
        <v>10</v>
      </c>
      <c r="F1201" s="37"/>
    </row>
    <row r="1202" spans="2:6" x14ac:dyDescent="0.25">
      <c r="B1202" s="38">
        <v>45960</v>
      </c>
      <c r="C1202" s="36" t="s">
        <v>530</v>
      </c>
      <c r="E1202">
        <v>2</v>
      </c>
      <c r="F1202" s="37"/>
    </row>
    <row r="1203" spans="2:6" x14ac:dyDescent="0.25">
      <c r="B1203" s="38">
        <v>45960</v>
      </c>
      <c r="C1203" s="36" t="s">
        <v>492</v>
      </c>
      <c r="E1203">
        <v>5</v>
      </c>
      <c r="F1203" s="37"/>
    </row>
    <row r="1204" spans="2:6" x14ac:dyDescent="0.25">
      <c r="B1204" s="38">
        <v>45960</v>
      </c>
      <c r="C1204" s="36" t="s">
        <v>494</v>
      </c>
      <c r="E1204">
        <v>3</v>
      </c>
      <c r="F1204" s="37"/>
    </row>
    <row r="1205" spans="2:6" x14ac:dyDescent="0.25">
      <c r="B1205" s="38">
        <v>45960</v>
      </c>
      <c r="C1205" s="36" t="s">
        <v>419</v>
      </c>
      <c r="E1205">
        <v>5</v>
      </c>
      <c r="F1205" s="37"/>
    </row>
    <row r="1206" spans="2:6" x14ac:dyDescent="0.25">
      <c r="B1206" s="38">
        <v>45960</v>
      </c>
      <c r="C1206" s="36" t="s">
        <v>146</v>
      </c>
      <c r="E1206">
        <v>5</v>
      </c>
      <c r="F1206" s="37"/>
    </row>
    <row r="1207" spans="2:6" x14ac:dyDescent="0.25">
      <c r="B1207" s="38">
        <v>45960</v>
      </c>
      <c r="C1207" s="36" t="s">
        <v>145</v>
      </c>
      <c r="E1207">
        <v>5</v>
      </c>
      <c r="F1207" s="37"/>
    </row>
    <row r="1208" spans="2:6" x14ac:dyDescent="0.25">
      <c r="B1208" s="38">
        <v>45960</v>
      </c>
      <c r="C1208" s="36" t="s">
        <v>143</v>
      </c>
      <c r="E1208">
        <v>5</v>
      </c>
      <c r="F1208" s="37"/>
    </row>
    <row r="1209" spans="2:6" x14ac:dyDescent="0.25">
      <c r="B1209" s="38">
        <v>45960</v>
      </c>
      <c r="C1209" s="36" t="s">
        <v>144</v>
      </c>
      <c r="E1209">
        <v>5</v>
      </c>
      <c r="F1209" s="37"/>
    </row>
    <row r="1210" spans="2:6" x14ac:dyDescent="0.25">
      <c r="B1210" s="38">
        <v>45960</v>
      </c>
      <c r="C1210" s="36" t="s">
        <v>139</v>
      </c>
      <c r="E1210">
        <v>5</v>
      </c>
      <c r="F1210" s="37"/>
    </row>
    <row r="1211" spans="2:6" x14ac:dyDescent="0.25">
      <c r="B1211" s="38">
        <v>45960</v>
      </c>
      <c r="C1211" s="36" t="s">
        <v>514</v>
      </c>
      <c r="E1211">
        <v>5</v>
      </c>
      <c r="F1211" s="37"/>
    </row>
    <row r="1212" spans="2:6" x14ac:dyDescent="0.25">
      <c r="B1212" s="38">
        <v>45961</v>
      </c>
      <c r="C1212" s="36" t="s">
        <v>525</v>
      </c>
      <c r="E1212">
        <v>5</v>
      </c>
      <c r="F1212" s="37"/>
    </row>
    <row r="1213" spans="2:6" x14ac:dyDescent="0.25">
      <c r="B1213" s="38">
        <v>45961</v>
      </c>
      <c r="C1213" s="36" t="s">
        <v>527</v>
      </c>
      <c r="E1213">
        <v>5</v>
      </c>
      <c r="F1213" s="37"/>
    </row>
    <row r="1214" spans="2:6" x14ac:dyDescent="0.25">
      <c r="B1214" s="38">
        <v>45961</v>
      </c>
      <c r="C1214" s="36" t="s">
        <v>491</v>
      </c>
      <c r="E1214">
        <v>5</v>
      </c>
      <c r="F1214" s="37"/>
    </row>
    <row r="1215" spans="2:6" x14ac:dyDescent="0.25">
      <c r="B1215" s="38">
        <v>45961</v>
      </c>
      <c r="C1215" s="36" t="s">
        <v>420</v>
      </c>
      <c r="D1215">
        <v>5</v>
      </c>
      <c r="F1215" s="37" t="s">
        <v>539</v>
      </c>
    </row>
    <row r="1216" spans="2:6" x14ac:dyDescent="0.25">
      <c r="B1216" s="38">
        <v>45961</v>
      </c>
      <c r="C1216" s="36" t="s">
        <v>138</v>
      </c>
      <c r="D1216">
        <v>5</v>
      </c>
      <c r="F1216" s="37" t="s">
        <v>539</v>
      </c>
    </row>
    <row r="1217" spans="2:6" x14ac:dyDescent="0.25">
      <c r="B1217" s="38">
        <v>45961</v>
      </c>
      <c r="C1217" s="36" t="s">
        <v>420</v>
      </c>
      <c r="E1217">
        <v>5</v>
      </c>
      <c r="F1217" s="37"/>
    </row>
    <row r="1218" spans="2:6" x14ac:dyDescent="0.25">
      <c r="B1218" s="38">
        <v>45961</v>
      </c>
      <c r="C1218" s="36" t="s">
        <v>138</v>
      </c>
      <c r="E1218">
        <v>5</v>
      </c>
      <c r="F1218" s="37"/>
    </row>
    <row r="1219" spans="2:6" x14ac:dyDescent="0.25">
      <c r="B1219" s="38">
        <v>45962</v>
      </c>
      <c r="C1219" s="36" t="s">
        <v>145</v>
      </c>
      <c r="E1219">
        <v>10</v>
      </c>
      <c r="F1219" s="37"/>
    </row>
    <row r="1220" spans="2:6" x14ac:dyDescent="0.25">
      <c r="B1220" s="38">
        <v>45962</v>
      </c>
      <c r="C1220" s="36" t="s">
        <v>419</v>
      </c>
      <c r="E1220">
        <v>10</v>
      </c>
      <c r="F1220" s="37"/>
    </row>
    <row r="1221" spans="2:6" x14ac:dyDescent="0.25">
      <c r="B1221" s="38">
        <v>45962</v>
      </c>
      <c r="C1221" s="36" t="s">
        <v>452</v>
      </c>
      <c r="E1221">
        <v>10</v>
      </c>
      <c r="F1221" s="37"/>
    </row>
    <row r="1222" spans="2:6" x14ac:dyDescent="0.25">
      <c r="B1222" s="38">
        <v>45962</v>
      </c>
      <c r="C1222" s="36" t="s">
        <v>488</v>
      </c>
      <c r="E1222">
        <v>6</v>
      </c>
      <c r="F1222" s="37"/>
    </row>
    <row r="1223" spans="2:6" x14ac:dyDescent="0.25">
      <c r="B1223" s="38">
        <v>45962</v>
      </c>
      <c r="C1223" s="36" t="s">
        <v>497</v>
      </c>
      <c r="E1223">
        <v>10</v>
      </c>
      <c r="F1223" s="37"/>
    </row>
    <row r="1224" spans="2:6" x14ac:dyDescent="0.25">
      <c r="B1224" s="38">
        <v>45962</v>
      </c>
      <c r="C1224" s="36" t="s">
        <v>378</v>
      </c>
      <c r="E1224">
        <v>2</v>
      </c>
      <c r="F1224" s="37"/>
    </row>
    <row r="1225" spans="2:6" x14ac:dyDescent="0.25">
      <c r="B1225" s="38">
        <v>45962</v>
      </c>
      <c r="C1225" s="36" t="s">
        <v>492</v>
      </c>
      <c r="E1225">
        <v>5</v>
      </c>
      <c r="F1225" s="37"/>
    </row>
    <row r="1226" spans="2:6" x14ac:dyDescent="0.25">
      <c r="B1226" s="38">
        <v>45962</v>
      </c>
      <c r="C1226" s="36" t="s">
        <v>144</v>
      </c>
      <c r="E1226">
        <v>3</v>
      </c>
      <c r="F1226" s="37"/>
    </row>
    <row r="1227" spans="2:6" x14ac:dyDescent="0.25">
      <c r="B1227" s="38">
        <v>45962</v>
      </c>
      <c r="C1227" s="36" t="s">
        <v>143</v>
      </c>
      <c r="E1227">
        <v>5</v>
      </c>
      <c r="F1227" s="37"/>
    </row>
    <row r="1228" spans="2:6" x14ac:dyDescent="0.25">
      <c r="B1228" s="38">
        <v>45962</v>
      </c>
      <c r="C1228" s="36" t="s">
        <v>465</v>
      </c>
      <c r="E1228">
        <v>10</v>
      </c>
      <c r="F1228" s="37"/>
    </row>
    <row r="1229" spans="2:6" x14ac:dyDescent="0.25">
      <c r="B1229" s="38">
        <v>45962</v>
      </c>
      <c r="C1229" s="36" t="s">
        <v>468</v>
      </c>
      <c r="E1229">
        <v>10</v>
      </c>
      <c r="F1229" s="37"/>
    </row>
    <row r="1230" spans="2:6" x14ac:dyDescent="0.25">
      <c r="B1230" s="38">
        <v>45962</v>
      </c>
      <c r="C1230" s="36" t="s">
        <v>445</v>
      </c>
      <c r="E1230">
        <v>4</v>
      </c>
      <c r="F1230" s="37"/>
    </row>
    <row r="1231" spans="2:6" x14ac:dyDescent="0.25">
      <c r="B1231" s="38">
        <v>45962</v>
      </c>
      <c r="C1231" s="36" t="s">
        <v>502</v>
      </c>
      <c r="E1231">
        <v>3</v>
      </c>
      <c r="F1231" s="37"/>
    </row>
    <row r="1232" spans="2:6" x14ac:dyDescent="0.25">
      <c r="B1232" s="38">
        <v>45962</v>
      </c>
      <c r="C1232" s="36" t="s">
        <v>420</v>
      </c>
      <c r="D1232">
        <v>20</v>
      </c>
      <c r="F1232" s="37" t="s">
        <v>540</v>
      </c>
    </row>
    <row r="1233" spans="2:6" x14ac:dyDescent="0.25">
      <c r="B1233" s="38">
        <v>45962</v>
      </c>
      <c r="C1233" s="36" t="s">
        <v>138</v>
      </c>
      <c r="D1233">
        <v>6</v>
      </c>
      <c r="F1233" s="37" t="s">
        <v>540</v>
      </c>
    </row>
    <row r="1234" spans="2:6" x14ac:dyDescent="0.25">
      <c r="B1234" s="38">
        <v>45962</v>
      </c>
      <c r="C1234" s="36" t="s">
        <v>142</v>
      </c>
      <c r="D1234">
        <v>10</v>
      </c>
      <c r="F1234" s="37" t="s">
        <v>540</v>
      </c>
    </row>
    <row r="1235" spans="2:6" x14ac:dyDescent="0.25">
      <c r="B1235" s="38">
        <v>45962</v>
      </c>
      <c r="C1235" s="36" t="s">
        <v>421</v>
      </c>
      <c r="D1235">
        <v>10</v>
      </c>
      <c r="F1235" s="37" t="s">
        <v>540</v>
      </c>
    </row>
    <row r="1236" spans="2:6" x14ac:dyDescent="0.25">
      <c r="B1236" s="38">
        <v>45962</v>
      </c>
      <c r="C1236" s="36" t="s">
        <v>420</v>
      </c>
      <c r="E1236">
        <v>10</v>
      </c>
      <c r="F1236" s="37"/>
    </row>
    <row r="1237" spans="2:6" x14ac:dyDescent="0.25">
      <c r="B1237" s="38">
        <v>45964</v>
      </c>
      <c r="C1237" s="36" t="s">
        <v>419</v>
      </c>
      <c r="E1237">
        <v>10</v>
      </c>
      <c r="F1237" s="37"/>
    </row>
    <row r="1238" spans="2:6" x14ac:dyDescent="0.25">
      <c r="B1238" s="38">
        <v>45964</v>
      </c>
      <c r="C1238" s="36" t="s">
        <v>250</v>
      </c>
      <c r="E1238">
        <v>20</v>
      </c>
      <c r="F1238" s="37"/>
    </row>
    <row r="1239" spans="2:6" x14ac:dyDescent="0.25">
      <c r="B1239" s="38">
        <v>45964</v>
      </c>
      <c r="C1239" s="36" t="s">
        <v>258</v>
      </c>
      <c r="E1239">
        <v>10</v>
      </c>
      <c r="F1239" s="37"/>
    </row>
    <row r="1240" spans="2:6" x14ac:dyDescent="0.25">
      <c r="B1240" s="38">
        <v>45964</v>
      </c>
      <c r="C1240" s="36" t="s">
        <v>493</v>
      </c>
      <c r="E1240">
        <v>5</v>
      </c>
      <c r="F1240" s="37"/>
    </row>
    <row r="1241" spans="2:6" x14ac:dyDescent="0.25">
      <c r="B1241" s="38">
        <v>45964</v>
      </c>
      <c r="C1241" s="36" t="s">
        <v>492</v>
      </c>
      <c r="E1241">
        <v>7</v>
      </c>
      <c r="F1241" s="37"/>
    </row>
    <row r="1242" spans="2:6" x14ac:dyDescent="0.25">
      <c r="B1242" s="38">
        <v>45964</v>
      </c>
      <c r="C1242" s="36" t="s">
        <v>525</v>
      </c>
      <c r="E1242">
        <v>10</v>
      </c>
      <c r="F1242" s="37"/>
    </row>
    <row r="1243" spans="2:6" x14ac:dyDescent="0.25">
      <c r="B1243" s="38">
        <v>45964</v>
      </c>
      <c r="C1243" s="36" t="s">
        <v>527</v>
      </c>
      <c r="E1243">
        <v>10</v>
      </c>
      <c r="F1243" s="37"/>
    </row>
    <row r="1244" spans="2:6" x14ac:dyDescent="0.25">
      <c r="B1244" s="38">
        <v>45964</v>
      </c>
      <c r="C1244" s="36" t="s">
        <v>499</v>
      </c>
      <c r="E1244">
        <v>5</v>
      </c>
      <c r="F1244" s="37"/>
    </row>
    <row r="1245" spans="2:6" x14ac:dyDescent="0.25">
      <c r="B1245" s="38">
        <v>45964</v>
      </c>
      <c r="C1245" s="36" t="s">
        <v>139</v>
      </c>
      <c r="E1245">
        <v>7</v>
      </c>
      <c r="F1245" s="37"/>
    </row>
    <row r="1246" spans="2:6" x14ac:dyDescent="0.25">
      <c r="B1246" s="38">
        <v>45965</v>
      </c>
      <c r="C1246" s="36" t="s">
        <v>138</v>
      </c>
      <c r="D1246">
        <v>14</v>
      </c>
      <c r="F1246" s="37"/>
    </row>
    <row r="1247" spans="2:6" x14ac:dyDescent="0.25">
      <c r="B1247" s="38">
        <v>45965</v>
      </c>
      <c r="C1247" s="36" t="s">
        <v>541</v>
      </c>
      <c r="D1247">
        <v>5</v>
      </c>
      <c r="F1247" s="37"/>
    </row>
    <row r="1248" spans="2:6" x14ac:dyDescent="0.25">
      <c r="B1248" s="38">
        <v>45965</v>
      </c>
      <c r="C1248" s="36" t="s">
        <v>541</v>
      </c>
      <c r="E1248">
        <v>3</v>
      </c>
      <c r="F1248" s="37"/>
    </row>
    <row r="1249" spans="2:6" x14ac:dyDescent="0.25">
      <c r="B1249" s="38">
        <v>45965</v>
      </c>
      <c r="C1249" s="36" t="s">
        <v>492</v>
      </c>
      <c r="E1249">
        <v>5</v>
      </c>
      <c r="F1249" s="37"/>
    </row>
    <row r="1250" spans="2:6" x14ac:dyDescent="0.25">
      <c r="B1250" s="38">
        <v>45965</v>
      </c>
      <c r="C1250" s="36" t="s">
        <v>419</v>
      </c>
      <c r="E1250">
        <v>10</v>
      </c>
      <c r="F1250" s="37"/>
    </row>
    <row r="1251" spans="2:6" x14ac:dyDescent="0.25">
      <c r="B1251" s="38">
        <v>45965</v>
      </c>
      <c r="C1251" s="36" t="s">
        <v>283</v>
      </c>
      <c r="E1251">
        <v>1</v>
      </c>
      <c r="F1251" s="37"/>
    </row>
    <row r="1252" spans="2:6" x14ac:dyDescent="0.25">
      <c r="B1252" s="38">
        <v>45966</v>
      </c>
      <c r="C1252" s="36" t="s">
        <v>543</v>
      </c>
      <c r="D1252">
        <v>10</v>
      </c>
      <c r="F1252" s="37" t="s">
        <v>539</v>
      </c>
    </row>
    <row r="1253" spans="2:6" x14ac:dyDescent="0.25">
      <c r="B1253" s="38">
        <v>45966</v>
      </c>
      <c r="C1253" s="36" t="s">
        <v>543</v>
      </c>
      <c r="E1253">
        <v>10</v>
      </c>
      <c r="F1253" s="37"/>
    </row>
    <row r="1254" spans="2:6" x14ac:dyDescent="0.25">
      <c r="B1254" s="38">
        <v>45966</v>
      </c>
      <c r="C1254" s="36" t="s">
        <v>525</v>
      </c>
      <c r="E1254">
        <v>2</v>
      </c>
      <c r="F1254" s="37"/>
    </row>
    <row r="1255" spans="2:6" x14ac:dyDescent="0.25">
      <c r="B1255" s="38">
        <v>45966</v>
      </c>
      <c r="C1255" s="36" t="s">
        <v>378</v>
      </c>
      <c r="E1255">
        <v>2</v>
      </c>
      <c r="F1255" s="37"/>
    </row>
    <row r="1256" spans="2:6" x14ac:dyDescent="0.25">
      <c r="B1256" s="38">
        <v>45966</v>
      </c>
      <c r="C1256" s="36" t="s">
        <v>124</v>
      </c>
      <c r="E1256">
        <v>5</v>
      </c>
      <c r="F1256" s="37"/>
    </row>
    <row r="1257" spans="2:6" x14ac:dyDescent="0.25">
      <c r="B1257" s="38">
        <v>45966</v>
      </c>
      <c r="C1257" s="36" t="s">
        <v>400</v>
      </c>
      <c r="E1257">
        <v>8</v>
      </c>
      <c r="F1257" s="37"/>
    </row>
    <row r="1258" spans="2:6" x14ac:dyDescent="0.25">
      <c r="B1258" s="38">
        <v>45966</v>
      </c>
      <c r="C1258" s="36" t="s">
        <v>176</v>
      </c>
      <c r="E1258">
        <v>3</v>
      </c>
      <c r="F1258" s="37"/>
    </row>
    <row r="1259" spans="2:6" x14ac:dyDescent="0.25">
      <c r="B1259" s="38">
        <v>45966</v>
      </c>
      <c r="C1259" s="36" t="s">
        <v>443</v>
      </c>
      <c r="E1259">
        <v>3</v>
      </c>
      <c r="F1259" s="37"/>
    </row>
    <row r="1260" spans="2:6" x14ac:dyDescent="0.25">
      <c r="B1260" s="38">
        <v>45967</v>
      </c>
      <c r="C1260" s="36" t="s">
        <v>497</v>
      </c>
      <c r="E1260">
        <v>1</v>
      </c>
      <c r="F1260" s="37"/>
    </row>
    <row r="1261" spans="2:6" x14ac:dyDescent="0.25">
      <c r="B1261" s="38">
        <v>45967</v>
      </c>
      <c r="C1261" s="36" t="s">
        <v>527</v>
      </c>
      <c r="E1261">
        <v>5</v>
      </c>
      <c r="F1261" s="37"/>
    </row>
    <row r="1262" spans="2:6" x14ac:dyDescent="0.25">
      <c r="B1262" s="38">
        <v>45967</v>
      </c>
      <c r="C1262" s="36" t="s">
        <v>514</v>
      </c>
      <c r="E1262">
        <v>5</v>
      </c>
      <c r="F1262" s="37"/>
    </row>
    <row r="1263" spans="2:6" x14ac:dyDescent="0.25">
      <c r="B1263" s="38">
        <v>45967</v>
      </c>
      <c r="C1263" s="36" t="s">
        <v>445</v>
      </c>
      <c r="D1263">
        <v>20</v>
      </c>
      <c r="F1263" s="37" t="s">
        <v>481</v>
      </c>
    </row>
    <row r="1264" spans="2:6" x14ac:dyDescent="0.25">
      <c r="B1264" s="38">
        <v>45968</v>
      </c>
      <c r="C1264" s="36" t="s">
        <v>143</v>
      </c>
      <c r="E1264">
        <v>10</v>
      </c>
      <c r="F1264" s="37"/>
    </row>
    <row r="1265" spans="2:6" x14ac:dyDescent="0.25">
      <c r="B1265" s="38">
        <v>45968</v>
      </c>
      <c r="C1265" s="36" t="s">
        <v>452</v>
      </c>
      <c r="E1265">
        <v>5</v>
      </c>
      <c r="F1265" s="37"/>
    </row>
    <row r="1266" spans="2:6" x14ac:dyDescent="0.25">
      <c r="B1266" s="38">
        <v>45968</v>
      </c>
      <c r="C1266" s="36" t="s">
        <v>155</v>
      </c>
      <c r="E1266">
        <v>5</v>
      </c>
      <c r="F1266" s="37"/>
    </row>
    <row r="1267" spans="2:6" x14ac:dyDescent="0.25">
      <c r="B1267" s="38">
        <v>45968</v>
      </c>
      <c r="C1267" s="36" t="s">
        <v>420</v>
      </c>
      <c r="E1267">
        <v>5</v>
      </c>
      <c r="F1267" s="37"/>
    </row>
    <row r="1268" spans="2:6" x14ac:dyDescent="0.25">
      <c r="B1268" s="38">
        <v>45968</v>
      </c>
      <c r="C1268" s="36" t="s">
        <v>419</v>
      </c>
      <c r="E1268">
        <v>10</v>
      </c>
      <c r="F1268" s="37"/>
    </row>
    <row r="1269" spans="2:6" x14ac:dyDescent="0.25">
      <c r="B1269" s="38">
        <v>45968</v>
      </c>
      <c r="C1269" s="36" t="s">
        <v>146</v>
      </c>
      <c r="E1269">
        <v>10</v>
      </c>
      <c r="F1269" s="37"/>
    </row>
    <row r="1270" spans="2:6" x14ac:dyDescent="0.25">
      <c r="B1270" s="38">
        <v>45968</v>
      </c>
      <c r="C1270" s="36" t="s">
        <v>145</v>
      </c>
      <c r="E1270">
        <v>5</v>
      </c>
      <c r="F1270" s="37"/>
    </row>
    <row r="1271" spans="2:6" x14ac:dyDescent="0.25">
      <c r="B1271" s="38">
        <v>45968</v>
      </c>
      <c r="C1271" s="36" t="s">
        <v>421</v>
      </c>
      <c r="E1271">
        <v>10</v>
      </c>
      <c r="F1271" s="37"/>
    </row>
    <row r="1272" spans="2:6" x14ac:dyDescent="0.25">
      <c r="B1272" s="38">
        <v>45968</v>
      </c>
      <c r="C1272" s="36" t="s">
        <v>139</v>
      </c>
      <c r="E1272">
        <v>5</v>
      </c>
      <c r="F1272" s="37"/>
    </row>
    <row r="1273" spans="2:6" x14ac:dyDescent="0.25">
      <c r="B1273" s="38">
        <v>45968</v>
      </c>
      <c r="C1273" s="36" t="s">
        <v>217</v>
      </c>
      <c r="E1273">
        <v>5</v>
      </c>
      <c r="F1273" s="37"/>
    </row>
    <row r="1274" spans="2:6" x14ac:dyDescent="0.25">
      <c r="B1274" s="38">
        <v>45968</v>
      </c>
      <c r="C1274" s="36" t="s">
        <v>378</v>
      </c>
      <c r="E1274">
        <v>2</v>
      </c>
      <c r="F1274" s="37"/>
    </row>
    <row r="1275" spans="2:6" x14ac:dyDescent="0.25">
      <c r="B1275" s="38">
        <v>45968</v>
      </c>
      <c r="C1275" s="36" t="s">
        <v>527</v>
      </c>
      <c r="E1275">
        <v>5</v>
      </c>
      <c r="F1275" s="37"/>
    </row>
    <row r="1276" spans="2:6" x14ac:dyDescent="0.25">
      <c r="B1276" s="38">
        <v>45968</v>
      </c>
      <c r="C1276" s="36" t="s">
        <v>443</v>
      </c>
      <c r="E1276">
        <v>5</v>
      </c>
      <c r="F1276" s="37"/>
    </row>
    <row r="1277" spans="2:6" x14ac:dyDescent="0.25">
      <c r="B1277" s="38">
        <v>45968</v>
      </c>
      <c r="C1277" s="36" t="s">
        <v>445</v>
      </c>
      <c r="E1277">
        <v>5</v>
      </c>
      <c r="F1277" s="37"/>
    </row>
    <row r="1278" spans="2:6" x14ac:dyDescent="0.25">
      <c r="B1278" s="38">
        <v>45968</v>
      </c>
      <c r="C1278" s="36" t="s">
        <v>468</v>
      </c>
      <c r="E1278">
        <v>10</v>
      </c>
      <c r="F1278" s="37"/>
    </row>
    <row r="1279" spans="2:6" x14ac:dyDescent="0.25">
      <c r="B1279" s="38">
        <v>45968</v>
      </c>
      <c r="C1279" s="36" t="s">
        <v>544</v>
      </c>
      <c r="E1279">
        <v>5</v>
      </c>
      <c r="F1279" s="37"/>
    </row>
    <row r="1280" spans="2:6" x14ac:dyDescent="0.25">
      <c r="B1280" s="38">
        <v>45968</v>
      </c>
      <c r="C1280" s="36" t="s">
        <v>429</v>
      </c>
      <c r="E1280">
        <v>11</v>
      </c>
      <c r="F1280" s="37"/>
    </row>
    <row r="1281" spans="2:6" x14ac:dyDescent="0.25">
      <c r="B1281" s="38">
        <v>45968</v>
      </c>
      <c r="C1281" s="36" t="s">
        <v>205</v>
      </c>
      <c r="E1281">
        <v>5</v>
      </c>
      <c r="F1281" s="37"/>
    </row>
    <row r="1282" spans="2:6" x14ac:dyDescent="0.25">
      <c r="B1282" s="38">
        <v>45968</v>
      </c>
      <c r="C1282" s="36" t="s">
        <v>506</v>
      </c>
      <c r="E1282">
        <v>5</v>
      </c>
      <c r="F1282" s="37"/>
    </row>
    <row r="1283" spans="2:6" x14ac:dyDescent="0.25">
      <c r="B1283" s="38">
        <v>45968</v>
      </c>
      <c r="C1283" s="36" t="s">
        <v>441</v>
      </c>
      <c r="E1283">
        <v>3</v>
      </c>
      <c r="F1283" s="37"/>
    </row>
    <row r="1284" spans="2:6" x14ac:dyDescent="0.25">
      <c r="B1284" s="38">
        <v>45968</v>
      </c>
      <c r="C1284" s="36" t="s">
        <v>489</v>
      </c>
      <c r="D1284">
        <v>50</v>
      </c>
      <c r="F1284" s="37" t="s">
        <v>413</v>
      </c>
    </row>
    <row r="1285" spans="2:6" x14ac:dyDescent="0.25">
      <c r="B1285" s="38">
        <v>45968</v>
      </c>
      <c r="C1285" s="36" t="s">
        <v>465</v>
      </c>
      <c r="D1285">
        <v>30</v>
      </c>
      <c r="F1285" s="37" t="s">
        <v>413</v>
      </c>
    </row>
    <row r="1286" spans="2:6" x14ac:dyDescent="0.25">
      <c r="B1286" s="38">
        <v>45968</v>
      </c>
      <c r="C1286" s="36" t="s">
        <v>237</v>
      </c>
      <c r="D1286">
        <v>5</v>
      </c>
      <c r="F1286" s="37" t="s">
        <v>413</v>
      </c>
    </row>
    <row r="1287" spans="2:6" x14ac:dyDescent="0.25">
      <c r="B1287" s="38">
        <v>45968</v>
      </c>
      <c r="C1287" s="36" t="s">
        <v>527</v>
      </c>
      <c r="D1287">
        <v>50</v>
      </c>
      <c r="F1287" s="37" t="s">
        <v>413</v>
      </c>
    </row>
    <row r="1288" spans="2:6" x14ac:dyDescent="0.25">
      <c r="B1288" s="38">
        <v>45968</v>
      </c>
      <c r="C1288" s="36" t="s">
        <v>472</v>
      </c>
      <c r="D1288">
        <v>50</v>
      </c>
      <c r="F1288" s="37" t="s">
        <v>413</v>
      </c>
    </row>
    <row r="1289" spans="2:6" x14ac:dyDescent="0.25">
      <c r="B1289" s="38">
        <v>45968</v>
      </c>
      <c r="C1289" s="36" t="s">
        <v>471</v>
      </c>
      <c r="D1289">
        <v>30</v>
      </c>
      <c r="F1289" s="37" t="s">
        <v>413</v>
      </c>
    </row>
    <row r="1290" spans="2:6" x14ac:dyDescent="0.25">
      <c r="B1290" s="38">
        <v>45968</v>
      </c>
      <c r="C1290" s="36" t="s">
        <v>493</v>
      </c>
      <c r="D1290">
        <v>50</v>
      </c>
      <c r="F1290" s="37" t="s">
        <v>413</v>
      </c>
    </row>
    <row r="1291" spans="2:6" x14ac:dyDescent="0.25">
      <c r="B1291" s="38">
        <v>45968</v>
      </c>
      <c r="C1291" s="36" t="s">
        <v>546</v>
      </c>
      <c r="D1291">
        <v>2</v>
      </c>
      <c r="F1291" s="37" t="s">
        <v>413</v>
      </c>
    </row>
    <row r="1292" spans="2:6" x14ac:dyDescent="0.25">
      <c r="B1292" s="38">
        <v>45968</v>
      </c>
      <c r="C1292" s="36" t="s">
        <v>545</v>
      </c>
      <c r="D1292">
        <v>50</v>
      </c>
      <c r="F1292" s="37" t="s">
        <v>413</v>
      </c>
    </row>
    <row r="1293" spans="2:6" x14ac:dyDescent="0.25">
      <c r="B1293" s="38">
        <v>45968</v>
      </c>
      <c r="C1293" s="36" t="s">
        <v>489</v>
      </c>
      <c r="E1293">
        <v>5</v>
      </c>
      <c r="F1293" s="37"/>
    </row>
    <row r="1294" spans="2:6" x14ac:dyDescent="0.25">
      <c r="B1294" s="38">
        <v>45968</v>
      </c>
      <c r="C1294" s="36" t="s">
        <v>497</v>
      </c>
      <c r="D1294">
        <v>50</v>
      </c>
      <c r="F1294" s="37" t="s">
        <v>500</v>
      </c>
    </row>
    <row r="1295" spans="2:6" x14ac:dyDescent="0.25">
      <c r="B1295" s="38">
        <v>45968</v>
      </c>
      <c r="C1295" s="36" t="s">
        <v>493</v>
      </c>
      <c r="E1295">
        <v>10</v>
      </c>
      <c r="F1295" s="37"/>
    </row>
    <row r="1296" spans="2:6" x14ac:dyDescent="0.25">
      <c r="B1296" s="38">
        <v>45968</v>
      </c>
      <c r="C1296" s="36" t="s">
        <v>497</v>
      </c>
      <c r="E1296">
        <v>10</v>
      </c>
      <c r="F1296" s="37"/>
    </row>
    <row r="1297" spans="2:6" x14ac:dyDescent="0.25">
      <c r="B1297" s="38">
        <v>45968</v>
      </c>
      <c r="C1297" s="36" t="s">
        <v>472</v>
      </c>
      <c r="E1297">
        <v>10</v>
      </c>
      <c r="F1297" s="37"/>
    </row>
    <row r="1298" spans="2:6" x14ac:dyDescent="0.25">
      <c r="B1298" s="38">
        <v>45968</v>
      </c>
      <c r="C1298" s="36" t="s">
        <v>545</v>
      </c>
      <c r="E1298">
        <v>10</v>
      </c>
      <c r="F1298" s="37"/>
    </row>
    <row r="1299" spans="2:6" x14ac:dyDescent="0.25">
      <c r="B1299" s="38">
        <v>45968</v>
      </c>
      <c r="C1299" s="36" t="s">
        <v>489</v>
      </c>
      <c r="E1299">
        <v>5</v>
      </c>
      <c r="F1299" s="37"/>
    </row>
    <row r="1300" spans="2:6" x14ac:dyDescent="0.25">
      <c r="B1300" s="38">
        <v>45968</v>
      </c>
      <c r="C1300" s="36" t="s">
        <v>497</v>
      </c>
      <c r="E1300">
        <v>10</v>
      </c>
      <c r="F1300" s="37"/>
    </row>
    <row r="1301" spans="2:6" x14ac:dyDescent="0.25">
      <c r="B1301" s="38">
        <v>45969</v>
      </c>
      <c r="C1301" s="36" t="s">
        <v>491</v>
      </c>
      <c r="E1301">
        <v>10</v>
      </c>
      <c r="F1301" s="37"/>
    </row>
    <row r="1302" spans="2:6" x14ac:dyDescent="0.25">
      <c r="B1302" s="38">
        <v>45969</v>
      </c>
      <c r="C1302" s="36" t="s">
        <v>492</v>
      </c>
      <c r="E1302">
        <v>5</v>
      </c>
      <c r="F1302" s="37"/>
    </row>
    <row r="1303" spans="2:6" x14ac:dyDescent="0.25">
      <c r="B1303" s="38">
        <v>45969</v>
      </c>
      <c r="C1303" s="36" t="s">
        <v>502</v>
      </c>
      <c r="E1303">
        <v>5</v>
      </c>
      <c r="F1303" s="37"/>
    </row>
    <row r="1304" spans="2:6" x14ac:dyDescent="0.25">
      <c r="B1304" s="38">
        <v>45969</v>
      </c>
      <c r="C1304" s="36" t="s">
        <v>443</v>
      </c>
      <c r="E1304">
        <v>2</v>
      </c>
      <c r="F1304" s="37"/>
    </row>
    <row r="1305" spans="2:6" x14ac:dyDescent="0.25">
      <c r="B1305" s="38">
        <v>45969</v>
      </c>
      <c r="C1305" s="36" t="s">
        <v>499</v>
      </c>
      <c r="E1305">
        <v>5</v>
      </c>
      <c r="F1305" s="37"/>
    </row>
    <row r="1306" spans="2:6" x14ac:dyDescent="0.25">
      <c r="B1306" s="38">
        <v>45969</v>
      </c>
      <c r="C1306" s="36" t="s">
        <v>537</v>
      </c>
      <c r="E1306">
        <v>5</v>
      </c>
      <c r="F1306" s="37"/>
    </row>
    <row r="1307" spans="2:6" x14ac:dyDescent="0.25">
      <c r="B1307" s="38">
        <v>45969</v>
      </c>
      <c r="C1307" s="36" t="s">
        <v>160</v>
      </c>
      <c r="E1307">
        <v>2</v>
      </c>
      <c r="F1307" s="37"/>
    </row>
    <row r="1308" spans="2:6" x14ac:dyDescent="0.25">
      <c r="B1308" s="38">
        <v>45969</v>
      </c>
      <c r="C1308" s="36" t="s">
        <v>527</v>
      </c>
      <c r="E1308">
        <v>5</v>
      </c>
      <c r="F1308" s="37"/>
    </row>
    <row r="1309" spans="2:6" x14ac:dyDescent="0.25">
      <c r="B1309" s="38">
        <v>45969</v>
      </c>
      <c r="C1309" s="36" t="s">
        <v>445</v>
      </c>
      <c r="E1309">
        <v>5</v>
      </c>
      <c r="F1309" s="37"/>
    </row>
    <row r="1310" spans="2:6" x14ac:dyDescent="0.25">
      <c r="B1310" s="38">
        <v>45969</v>
      </c>
      <c r="C1310" s="36" t="s">
        <v>139</v>
      </c>
      <c r="E1310">
        <v>5</v>
      </c>
      <c r="F1310" s="37"/>
    </row>
    <row r="1311" spans="2:6" x14ac:dyDescent="0.25">
      <c r="B1311" s="38">
        <v>45969</v>
      </c>
      <c r="C1311" s="36" t="s">
        <v>138</v>
      </c>
      <c r="E1311">
        <v>5</v>
      </c>
      <c r="F1311" s="37"/>
    </row>
    <row r="1312" spans="2:6" x14ac:dyDescent="0.25">
      <c r="B1312" s="38">
        <v>45969</v>
      </c>
      <c r="C1312" s="36" t="s">
        <v>135</v>
      </c>
      <c r="E1312">
        <v>10</v>
      </c>
      <c r="F1312" s="37"/>
    </row>
    <row r="1313" spans="2:6" x14ac:dyDescent="0.25">
      <c r="B1313" s="38">
        <v>45969</v>
      </c>
      <c r="C1313" s="36" t="s">
        <v>124</v>
      </c>
      <c r="E1313">
        <v>8</v>
      </c>
      <c r="F1313" s="37"/>
    </row>
    <row r="1314" spans="2:6" x14ac:dyDescent="0.25">
      <c r="B1314" s="38">
        <v>45969</v>
      </c>
      <c r="C1314" s="36" t="s">
        <v>547</v>
      </c>
      <c r="D1314">
        <v>20</v>
      </c>
      <c r="F1314" s="37" t="s">
        <v>509</v>
      </c>
    </row>
    <row r="1315" spans="2:6" x14ac:dyDescent="0.25">
      <c r="B1315" s="38">
        <v>45969</v>
      </c>
      <c r="C1315" s="36" t="s">
        <v>548</v>
      </c>
      <c r="D1315">
        <v>50</v>
      </c>
      <c r="F1315" s="37" t="s">
        <v>509</v>
      </c>
    </row>
    <row r="1316" spans="2:6" x14ac:dyDescent="0.25">
      <c r="B1316" s="38">
        <v>45969</v>
      </c>
      <c r="C1316" s="36" t="s">
        <v>550</v>
      </c>
      <c r="D1316">
        <v>50</v>
      </c>
      <c r="F1316" s="37" t="s">
        <v>509</v>
      </c>
    </row>
    <row r="1317" spans="2:6" x14ac:dyDescent="0.25">
      <c r="B1317" s="38">
        <v>45969</v>
      </c>
      <c r="C1317" s="36" t="s">
        <v>551</v>
      </c>
      <c r="D1317">
        <v>200</v>
      </c>
      <c r="F1317" s="37" t="s">
        <v>509</v>
      </c>
    </row>
    <row r="1318" spans="2:6" x14ac:dyDescent="0.25">
      <c r="B1318" s="38">
        <v>45969</v>
      </c>
      <c r="C1318" s="36" t="s">
        <v>142</v>
      </c>
      <c r="D1318">
        <v>50</v>
      </c>
      <c r="F1318" s="37" t="s">
        <v>509</v>
      </c>
    </row>
    <row r="1319" spans="2:6" x14ac:dyDescent="0.25">
      <c r="B1319" s="38">
        <v>45969</v>
      </c>
      <c r="C1319" s="36" t="s">
        <v>420</v>
      </c>
      <c r="D1319">
        <v>50</v>
      </c>
      <c r="F1319" s="37" t="s">
        <v>509</v>
      </c>
    </row>
    <row r="1320" spans="2:6" x14ac:dyDescent="0.25">
      <c r="B1320" s="38">
        <v>45969</v>
      </c>
      <c r="C1320" s="36" t="s">
        <v>432</v>
      </c>
      <c r="D1320">
        <v>20</v>
      </c>
      <c r="F1320" s="37" t="s">
        <v>509</v>
      </c>
    </row>
    <row r="1321" spans="2:6" x14ac:dyDescent="0.25">
      <c r="B1321" s="38">
        <v>45969</v>
      </c>
      <c r="C1321" s="36" t="s">
        <v>552</v>
      </c>
      <c r="D1321">
        <v>50</v>
      </c>
      <c r="F1321" s="37" t="s">
        <v>509</v>
      </c>
    </row>
    <row r="1322" spans="2:6" x14ac:dyDescent="0.25">
      <c r="B1322" s="38">
        <v>45969</v>
      </c>
      <c r="C1322" s="36" t="s">
        <v>551</v>
      </c>
      <c r="E1322">
        <v>25</v>
      </c>
      <c r="F1322" s="37"/>
    </row>
    <row r="1323" spans="2:6" x14ac:dyDescent="0.25">
      <c r="B1323" s="38">
        <v>45969</v>
      </c>
      <c r="C1323" s="36" t="s">
        <v>548</v>
      </c>
      <c r="E1323">
        <v>10</v>
      </c>
      <c r="F1323" s="37"/>
    </row>
    <row r="1324" spans="2:6" x14ac:dyDescent="0.25">
      <c r="B1324" s="38">
        <v>45971</v>
      </c>
      <c r="C1324" s="36" t="s">
        <v>145</v>
      </c>
      <c r="E1324">
        <v>10</v>
      </c>
      <c r="F1324" s="37"/>
    </row>
    <row r="1325" spans="2:6" x14ac:dyDescent="0.25">
      <c r="B1325" s="38">
        <v>45971</v>
      </c>
      <c r="C1325" s="36" t="s">
        <v>419</v>
      </c>
      <c r="E1325">
        <v>10</v>
      </c>
      <c r="F1325" s="37"/>
    </row>
    <row r="1326" spans="2:6" x14ac:dyDescent="0.25">
      <c r="B1326" s="38">
        <v>45972</v>
      </c>
      <c r="C1326" s="36" t="s">
        <v>145</v>
      </c>
      <c r="E1326">
        <v>20</v>
      </c>
      <c r="F1326" s="37"/>
    </row>
    <row r="1327" spans="2:6" x14ac:dyDescent="0.25">
      <c r="B1327" s="38">
        <v>45972</v>
      </c>
      <c r="C1327" s="36" t="s">
        <v>551</v>
      </c>
      <c r="E1327">
        <v>10</v>
      </c>
      <c r="F1327" s="37"/>
    </row>
    <row r="1328" spans="2:6" x14ac:dyDescent="0.25">
      <c r="B1328" s="38">
        <v>45972</v>
      </c>
      <c r="C1328" s="36" t="s">
        <v>232</v>
      </c>
      <c r="E1328">
        <v>1</v>
      </c>
      <c r="F1328" s="37"/>
    </row>
    <row r="1329" spans="2:6" x14ac:dyDescent="0.25">
      <c r="B1329" s="38">
        <v>45973</v>
      </c>
      <c r="C1329" s="36" t="s">
        <v>419</v>
      </c>
      <c r="E1329">
        <v>10</v>
      </c>
      <c r="F1329" s="37"/>
    </row>
    <row r="1330" spans="2:6" x14ac:dyDescent="0.25">
      <c r="B1330" s="38">
        <v>45973</v>
      </c>
      <c r="C1330" s="36" t="s">
        <v>146</v>
      </c>
      <c r="E1330">
        <v>8</v>
      </c>
      <c r="F1330" s="37"/>
    </row>
    <row r="1331" spans="2:6" x14ac:dyDescent="0.25">
      <c r="B1331" s="38">
        <v>45973</v>
      </c>
      <c r="C1331" s="36" t="s">
        <v>145</v>
      </c>
      <c r="E1331">
        <v>10</v>
      </c>
      <c r="F1331" s="37"/>
    </row>
    <row r="1332" spans="2:6" x14ac:dyDescent="0.25">
      <c r="B1332" s="38">
        <v>45973</v>
      </c>
      <c r="C1332" s="36" t="s">
        <v>250</v>
      </c>
      <c r="E1332">
        <v>20</v>
      </c>
      <c r="F1332" s="37"/>
    </row>
    <row r="1333" spans="2:6" x14ac:dyDescent="0.25">
      <c r="B1333" s="38">
        <v>45973</v>
      </c>
      <c r="C1333" s="36" t="s">
        <v>258</v>
      </c>
      <c r="E1333">
        <v>7</v>
      </c>
      <c r="F1333" s="37"/>
    </row>
    <row r="1334" spans="2:6" x14ac:dyDescent="0.25">
      <c r="B1334" s="38">
        <v>45973</v>
      </c>
      <c r="C1334" s="36" t="s">
        <v>551</v>
      </c>
      <c r="E1334">
        <v>10</v>
      </c>
      <c r="F1334" s="37"/>
    </row>
    <row r="1335" spans="2:6" x14ac:dyDescent="0.25">
      <c r="B1335" s="38">
        <v>45973</v>
      </c>
      <c r="C1335" s="36" t="s">
        <v>171</v>
      </c>
      <c r="E1335">
        <v>5</v>
      </c>
      <c r="F1335" s="37"/>
    </row>
    <row r="1336" spans="2:6" x14ac:dyDescent="0.25">
      <c r="B1336" s="38">
        <v>45973</v>
      </c>
      <c r="C1336" s="36" t="s">
        <v>378</v>
      </c>
      <c r="E1336">
        <v>2</v>
      </c>
      <c r="F1336" s="37"/>
    </row>
    <row r="1337" spans="2:6" x14ac:dyDescent="0.25">
      <c r="B1337" s="38">
        <v>45973</v>
      </c>
      <c r="C1337" s="36" t="s">
        <v>493</v>
      </c>
      <c r="E1337">
        <v>6</v>
      </c>
      <c r="F1337" s="37"/>
    </row>
    <row r="1338" spans="2:6" x14ac:dyDescent="0.25">
      <c r="B1338" s="38">
        <v>45973</v>
      </c>
      <c r="C1338" s="36" t="s">
        <v>445</v>
      </c>
      <c r="E1338">
        <v>5</v>
      </c>
      <c r="F1338" s="37"/>
    </row>
    <row r="1339" spans="2:6" x14ac:dyDescent="0.25">
      <c r="B1339" s="38">
        <v>45973</v>
      </c>
      <c r="C1339" s="36" t="s">
        <v>211</v>
      </c>
      <c r="E1339">
        <v>10</v>
      </c>
      <c r="F1339" s="37"/>
    </row>
    <row r="1340" spans="2:6" x14ac:dyDescent="0.25">
      <c r="B1340" s="38">
        <v>45973</v>
      </c>
      <c r="C1340" s="36" t="s">
        <v>234</v>
      </c>
      <c r="E1340">
        <v>3</v>
      </c>
      <c r="F1340" s="37"/>
    </row>
    <row r="1341" spans="2:6" x14ac:dyDescent="0.25">
      <c r="B1341" s="38">
        <v>45973</v>
      </c>
      <c r="C1341" s="36" t="s">
        <v>205</v>
      </c>
      <c r="E1341">
        <v>4</v>
      </c>
      <c r="F1341" s="37"/>
    </row>
    <row r="1342" spans="2:6" x14ac:dyDescent="0.25">
      <c r="B1342" s="38">
        <v>45973</v>
      </c>
      <c r="C1342" s="36" t="s">
        <v>213</v>
      </c>
      <c r="E1342">
        <v>5</v>
      </c>
      <c r="F1342" s="37"/>
    </row>
    <row r="1343" spans="2:6" x14ac:dyDescent="0.25">
      <c r="B1343" s="38">
        <v>45973</v>
      </c>
      <c r="C1343" s="36" t="s">
        <v>420</v>
      </c>
      <c r="E1343">
        <v>5</v>
      </c>
      <c r="F1343" s="37"/>
    </row>
    <row r="1344" spans="2:6" x14ac:dyDescent="0.25">
      <c r="B1344" s="38">
        <v>45974</v>
      </c>
      <c r="C1344" s="36" t="s">
        <v>421</v>
      </c>
      <c r="D1344">
        <v>50</v>
      </c>
      <c r="F1344" s="37" t="s">
        <v>509</v>
      </c>
    </row>
    <row r="1345" spans="2:6" x14ac:dyDescent="0.25">
      <c r="B1345" s="38">
        <v>45974</v>
      </c>
      <c r="C1345" s="36" t="s">
        <v>499</v>
      </c>
      <c r="E1345">
        <v>5</v>
      </c>
      <c r="F1345" s="37"/>
    </row>
    <row r="1346" spans="2:6" x14ac:dyDescent="0.25">
      <c r="B1346" s="38">
        <v>45974</v>
      </c>
      <c r="C1346" s="36" t="s">
        <v>420</v>
      </c>
      <c r="E1346">
        <v>10</v>
      </c>
      <c r="F1346" s="37"/>
    </row>
    <row r="1347" spans="2:6" x14ac:dyDescent="0.25">
      <c r="B1347" s="38">
        <v>45974</v>
      </c>
      <c r="C1347" s="36" t="s">
        <v>551</v>
      </c>
      <c r="E1347">
        <v>10</v>
      </c>
      <c r="F1347" s="37"/>
    </row>
    <row r="1348" spans="2:6" x14ac:dyDescent="0.25">
      <c r="B1348" s="38">
        <v>45975</v>
      </c>
      <c r="C1348" s="36" t="s">
        <v>530</v>
      </c>
      <c r="E1348">
        <v>2</v>
      </c>
      <c r="F1348" s="37"/>
    </row>
    <row r="1349" spans="2:6" x14ac:dyDescent="0.25">
      <c r="B1349" s="38">
        <v>45975</v>
      </c>
      <c r="C1349" s="36" t="s">
        <v>145</v>
      </c>
      <c r="E1349">
        <v>14</v>
      </c>
      <c r="F1349" s="37"/>
    </row>
    <row r="1350" spans="2:6" x14ac:dyDescent="0.25">
      <c r="B1350" s="38">
        <v>45975</v>
      </c>
      <c r="C1350" s="36" t="s">
        <v>421</v>
      </c>
      <c r="E1350">
        <v>4</v>
      </c>
      <c r="F1350" s="37"/>
    </row>
    <row r="1351" spans="2:6" x14ac:dyDescent="0.25">
      <c r="B1351" s="38">
        <v>45975</v>
      </c>
      <c r="C1351" s="36" t="s">
        <v>548</v>
      </c>
      <c r="E1351">
        <v>10</v>
      </c>
      <c r="F1351" s="37"/>
    </row>
    <row r="1352" spans="2:6" x14ac:dyDescent="0.25">
      <c r="B1352" s="38">
        <v>45975</v>
      </c>
      <c r="C1352" s="36" t="s">
        <v>140</v>
      </c>
      <c r="E1352">
        <v>5</v>
      </c>
      <c r="F1352" s="37"/>
    </row>
    <row r="1353" spans="2:6" x14ac:dyDescent="0.25">
      <c r="B1353" s="38">
        <v>45975</v>
      </c>
      <c r="C1353" s="36" t="s">
        <v>378</v>
      </c>
      <c r="E1353">
        <v>2</v>
      </c>
      <c r="F1353" s="37"/>
    </row>
    <row r="1354" spans="2:6" x14ac:dyDescent="0.25">
      <c r="B1354" s="38">
        <v>45975</v>
      </c>
      <c r="C1354" s="36" t="s">
        <v>551</v>
      </c>
      <c r="E1354">
        <v>10</v>
      </c>
      <c r="F1354" s="37"/>
    </row>
    <row r="1355" spans="2:6" x14ac:dyDescent="0.25">
      <c r="B1355" s="38">
        <v>45975</v>
      </c>
      <c r="C1355" s="36" t="s">
        <v>472</v>
      </c>
      <c r="E1355">
        <v>10</v>
      </c>
      <c r="F1355" s="37"/>
    </row>
    <row r="1356" spans="2:6" x14ac:dyDescent="0.25">
      <c r="B1356" s="38">
        <v>45975</v>
      </c>
      <c r="C1356" s="36" t="s">
        <v>489</v>
      </c>
      <c r="E1356">
        <v>6</v>
      </c>
      <c r="F1356" s="37"/>
    </row>
    <row r="1357" spans="2:6" x14ac:dyDescent="0.25">
      <c r="B1357" s="38">
        <v>45975</v>
      </c>
      <c r="C1357" s="36" t="s">
        <v>491</v>
      </c>
      <c r="E1357">
        <v>10</v>
      </c>
      <c r="F1357" s="37"/>
    </row>
    <row r="1358" spans="2:6" x14ac:dyDescent="0.25">
      <c r="B1358" s="38">
        <v>45975</v>
      </c>
      <c r="C1358" s="36" t="s">
        <v>493</v>
      </c>
      <c r="E1358">
        <v>10</v>
      </c>
      <c r="F1358" s="37"/>
    </row>
    <row r="1359" spans="2:6" x14ac:dyDescent="0.25">
      <c r="B1359" s="38">
        <v>45975</v>
      </c>
      <c r="C1359" s="36" t="s">
        <v>514</v>
      </c>
      <c r="E1359">
        <v>5</v>
      </c>
      <c r="F1359" s="37"/>
    </row>
    <row r="1360" spans="2:6" x14ac:dyDescent="0.25">
      <c r="B1360" s="38">
        <v>45975</v>
      </c>
      <c r="C1360" s="36" t="s">
        <v>465</v>
      </c>
      <c r="E1360">
        <v>10</v>
      </c>
      <c r="F1360" s="37"/>
    </row>
    <row r="1361" spans="2:6" x14ac:dyDescent="0.25">
      <c r="B1361" s="38">
        <v>45975</v>
      </c>
      <c r="C1361" s="36" t="s">
        <v>434</v>
      </c>
      <c r="E1361">
        <v>5</v>
      </c>
      <c r="F1361" s="37"/>
    </row>
    <row r="1362" spans="2:6" x14ac:dyDescent="0.25">
      <c r="B1362" s="38">
        <v>45975</v>
      </c>
      <c r="C1362" s="36" t="s">
        <v>240</v>
      </c>
      <c r="E1362">
        <v>5</v>
      </c>
      <c r="F1362" s="37"/>
    </row>
    <row r="1363" spans="2:6" x14ac:dyDescent="0.25">
      <c r="B1363" s="38">
        <v>45976</v>
      </c>
      <c r="C1363" s="36" t="s">
        <v>171</v>
      </c>
      <c r="E1363">
        <v>5</v>
      </c>
      <c r="F1363" s="37"/>
    </row>
    <row r="1364" spans="2:6" x14ac:dyDescent="0.25">
      <c r="B1364" s="38">
        <v>45976</v>
      </c>
      <c r="C1364" s="36" t="s">
        <v>499</v>
      </c>
      <c r="E1364">
        <v>7</v>
      </c>
      <c r="F1364" s="37"/>
    </row>
    <row r="1365" spans="2:6" x14ac:dyDescent="0.25">
      <c r="B1365" s="38">
        <v>45976</v>
      </c>
      <c r="C1365" s="36" t="s">
        <v>551</v>
      </c>
      <c r="E1365">
        <v>20</v>
      </c>
      <c r="F1365" s="37"/>
    </row>
    <row r="1366" spans="2:6" x14ac:dyDescent="0.25">
      <c r="B1366" s="38">
        <v>45976</v>
      </c>
      <c r="C1366" s="36" t="s">
        <v>159</v>
      </c>
      <c r="E1366">
        <v>1</v>
      </c>
      <c r="F1366" s="37"/>
    </row>
    <row r="1367" spans="2:6" x14ac:dyDescent="0.25">
      <c r="B1367" s="38">
        <v>45976</v>
      </c>
      <c r="C1367" s="36" t="s">
        <v>472</v>
      </c>
      <c r="E1367">
        <v>10</v>
      </c>
      <c r="F1367" s="37"/>
    </row>
    <row r="1368" spans="2:6" x14ac:dyDescent="0.25">
      <c r="B1368" s="38">
        <v>45976</v>
      </c>
      <c r="C1368" s="36" t="s">
        <v>497</v>
      </c>
      <c r="E1368">
        <v>10</v>
      </c>
      <c r="F1368" s="37"/>
    </row>
    <row r="1369" spans="2:6" x14ac:dyDescent="0.25">
      <c r="B1369" s="38">
        <v>45976</v>
      </c>
      <c r="C1369" s="36" t="s">
        <v>545</v>
      </c>
      <c r="E1369">
        <v>10</v>
      </c>
      <c r="F1369" s="37"/>
    </row>
    <row r="1370" spans="2:6" x14ac:dyDescent="0.25">
      <c r="B1370" s="38">
        <v>45976</v>
      </c>
      <c r="C1370" s="36" t="s">
        <v>550</v>
      </c>
      <c r="E1370">
        <v>10</v>
      </c>
      <c r="F1370" s="37"/>
    </row>
    <row r="1371" spans="2:6" x14ac:dyDescent="0.25">
      <c r="B1371" s="38">
        <v>45978</v>
      </c>
      <c r="C1371" s="36" t="s">
        <v>421</v>
      </c>
      <c r="E1371">
        <v>10</v>
      </c>
      <c r="F1371" s="37"/>
    </row>
    <row r="1372" spans="2:6" x14ac:dyDescent="0.25">
      <c r="B1372" s="38">
        <v>45978</v>
      </c>
      <c r="C1372" s="36" t="s">
        <v>445</v>
      </c>
      <c r="E1372">
        <v>5</v>
      </c>
      <c r="F1372" s="37"/>
    </row>
    <row r="1373" spans="2:6" x14ac:dyDescent="0.25">
      <c r="B1373" s="38">
        <v>45978</v>
      </c>
      <c r="C1373" s="36" t="s">
        <v>502</v>
      </c>
      <c r="E1373">
        <v>5</v>
      </c>
      <c r="F1373" s="37"/>
    </row>
    <row r="1374" spans="2:6" x14ac:dyDescent="0.25">
      <c r="B1374" s="38">
        <v>45978</v>
      </c>
      <c r="C1374" s="36" t="s">
        <v>143</v>
      </c>
      <c r="E1374">
        <v>10</v>
      </c>
      <c r="F1374" s="37"/>
    </row>
    <row r="1375" spans="2:6" x14ac:dyDescent="0.25">
      <c r="B1375" s="38">
        <v>45978</v>
      </c>
      <c r="C1375" s="36" t="s">
        <v>554</v>
      </c>
      <c r="E1375">
        <v>1</v>
      </c>
      <c r="F1375" s="37"/>
    </row>
    <row r="1376" spans="2:6" x14ac:dyDescent="0.25">
      <c r="B1376" s="38">
        <v>45978</v>
      </c>
      <c r="C1376" s="36" t="s">
        <v>489</v>
      </c>
      <c r="E1376">
        <v>5</v>
      </c>
      <c r="F1376" s="37"/>
    </row>
    <row r="1377" spans="2:6" x14ac:dyDescent="0.25">
      <c r="B1377" s="38">
        <v>45978</v>
      </c>
      <c r="C1377" s="36" t="s">
        <v>468</v>
      </c>
      <c r="E1377">
        <v>10</v>
      </c>
      <c r="F1377" s="37"/>
    </row>
    <row r="1378" spans="2:6" x14ac:dyDescent="0.25">
      <c r="B1378" s="38">
        <v>45978</v>
      </c>
      <c r="C1378" s="36" t="s">
        <v>443</v>
      </c>
      <c r="D1378">
        <v>30</v>
      </c>
      <c r="F1378" s="37" t="s">
        <v>481</v>
      </c>
    </row>
    <row r="1379" spans="2:6" x14ac:dyDescent="0.25">
      <c r="B1379" s="38">
        <v>45978</v>
      </c>
      <c r="C1379" s="36" t="s">
        <v>445</v>
      </c>
      <c r="D1379">
        <v>30</v>
      </c>
      <c r="F1379" s="37" t="s">
        <v>481</v>
      </c>
    </row>
    <row r="1380" spans="2:6" x14ac:dyDescent="0.25">
      <c r="B1380" s="38">
        <v>45978</v>
      </c>
      <c r="C1380" s="36" t="s">
        <v>502</v>
      </c>
      <c r="D1380">
        <v>20</v>
      </c>
      <c r="F1380" s="37" t="s">
        <v>481</v>
      </c>
    </row>
    <row r="1381" spans="2:6" x14ac:dyDescent="0.25">
      <c r="B1381" s="38">
        <v>45979</v>
      </c>
      <c r="C1381" s="36" t="s">
        <v>443</v>
      </c>
      <c r="E1381">
        <v>5</v>
      </c>
      <c r="F1381" s="37"/>
    </row>
    <row r="1382" spans="2:6" x14ac:dyDescent="0.25">
      <c r="B1382" s="38">
        <v>45979</v>
      </c>
      <c r="C1382" s="36" t="s">
        <v>432</v>
      </c>
      <c r="E1382">
        <v>5</v>
      </c>
      <c r="F1382" s="37"/>
    </row>
    <row r="1383" spans="2:6" x14ac:dyDescent="0.25">
      <c r="B1383" s="38">
        <v>45979</v>
      </c>
      <c r="C1383" s="36" t="s">
        <v>472</v>
      </c>
      <c r="E1383">
        <v>20</v>
      </c>
      <c r="F1383" s="37"/>
    </row>
    <row r="1384" spans="2:6" x14ac:dyDescent="0.25">
      <c r="B1384" s="38">
        <v>45979</v>
      </c>
      <c r="C1384" s="36" t="s">
        <v>551</v>
      </c>
      <c r="E1384">
        <v>20</v>
      </c>
      <c r="F1384" s="37"/>
    </row>
    <row r="1385" spans="2:6" x14ac:dyDescent="0.25">
      <c r="B1385" s="38">
        <v>45979</v>
      </c>
      <c r="C1385" s="36" t="s">
        <v>541</v>
      </c>
      <c r="E1385">
        <v>2</v>
      </c>
      <c r="F1385" s="37"/>
    </row>
    <row r="1386" spans="2:6" x14ac:dyDescent="0.25">
      <c r="B1386" s="38">
        <v>45979</v>
      </c>
      <c r="C1386" s="36" t="s">
        <v>213</v>
      </c>
      <c r="E1386">
        <v>1</v>
      </c>
      <c r="F1386" s="37"/>
    </row>
    <row r="1387" spans="2:6" x14ac:dyDescent="0.25">
      <c r="B1387" s="38">
        <v>45979</v>
      </c>
      <c r="C1387" s="36" t="s">
        <v>497</v>
      </c>
      <c r="D1387">
        <v>30</v>
      </c>
      <c r="F1387" s="37" t="s">
        <v>500</v>
      </c>
    </row>
    <row r="1388" spans="2:6" x14ac:dyDescent="0.25">
      <c r="B1388" s="38">
        <v>45979</v>
      </c>
      <c r="C1388" s="36" t="s">
        <v>499</v>
      </c>
      <c r="D1388">
        <v>30</v>
      </c>
      <c r="F1388" s="37" t="s">
        <v>500</v>
      </c>
    </row>
    <row r="1389" spans="2:6" x14ac:dyDescent="0.25">
      <c r="B1389" s="38">
        <v>45979</v>
      </c>
      <c r="C1389" s="36" t="s">
        <v>145</v>
      </c>
      <c r="D1389">
        <v>100</v>
      </c>
      <c r="F1389" s="37" t="s">
        <v>555</v>
      </c>
    </row>
    <row r="1390" spans="2:6" x14ac:dyDescent="0.25">
      <c r="B1390" s="38">
        <v>45979</v>
      </c>
      <c r="C1390" s="36" t="s">
        <v>270</v>
      </c>
      <c r="D1390">
        <v>50</v>
      </c>
      <c r="F1390" s="37" t="s">
        <v>555</v>
      </c>
    </row>
    <row r="1391" spans="2:6" x14ac:dyDescent="0.25">
      <c r="B1391" s="38">
        <v>45979</v>
      </c>
      <c r="C1391" s="36" t="s">
        <v>145</v>
      </c>
      <c r="E1391">
        <v>10</v>
      </c>
      <c r="F1391" s="37"/>
    </row>
    <row r="1392" spans="2:6" x14ac:dyDescent="0.25">
      <c r="B1392" s="38">
        <v>45980</v>
      </c>
      <c r="C1392" s="36" t="s">
        <v>562</v>
      </c>
      <c r="D1392">
        <v>10</v>
      </c>
      <c r="F1392" s="37" t="s">
        <v>563</v>
      </c>
    </row>
    <row r="1393" spans="2:6" x14ac:dyDescent="0.25">
      <c r="B1393" s="38">
        <v>45980</v>
      </c>
      <c r="C1393" s="36" t="s">
        <v>556</v>
      </c>
      <c r="D1393">
        <v>15</v>
      </c>
      <c r="F1393" s="37" t="s">
        <v>563</v>
      </c>
    </row>
    <row r="1394" spans="2:6" x14ac:dyDescent="0.25">
      <c r="B1394" s="38">
        <v>45980</v>
      </c>
      <c r="C1394" s="36" t="s">
        <v>557</v>
      </c>
      <c r="D1394">
        <v>15</v>
      </c>
      <c r="F1394" s="37" t="s">
        <v>563</v>
      </c>
    </row>
    <row r="1395" spans="2:6" x14ac:dyDescent="0.25">
      <c r="B1395" s="38">
        <v>45980</v>
      </c>
      <c r="C1395" s="36" t="s">
        <v>558</v>
      </c>
      <c r="D1395">
        <v>20</v>
      </c>
      <c r="F1395" s="37" t="s">
        <v>563</v>
      </c>
    </row>
    <row r="1396" spans="2:6" x14ac:dyDescent="0.25">
      <c r="B1396" s="38">
        <v>45980</v>
      </c>
      <c r="C1396" s="36" t="s">
        <v>559</v>
      </c>
      <c r="D1396">
        <v>14</v>
      </c>
      <c r="F1396" s="37" t="s">
        <v>563</v>
      </c>
    </row>
    <row r="1397" spans="2:6" x14ac:dyDescent="0.25">
      <c r="B1397" s="38">
        <v>45980</v>
      </c>
      <c r="C1397" s="36" t="s">
        <v>419</v>
      </c>
      <c r="E1397">
        <v>20</v>
      </c>
      <c r="F1397" s="37"/>
    </row>
    <row r="1398" spans="2:6" x14ac:dyDescent="0.25">
      <c r="B1398" s="38">
        <v>45980</v>
      </c>
      <c r="C1398" s="36" t="s">
        <v>420</v>
      </c>
      <c r="E1398">
        <v>20</v>
      </c>
      <c r="F1398" s="37"/>
    </row>
    <row r="1399" spans="2:6" x14ac:dyDescent="0.25">
      <c r="B1399" s="38">
        <v>45980</v>
      </c>
      <c r="C1399" s="36" t="s">
        <v>421</v>
      </c>
      <c r="E1399">
        <v>10</v>
      </c>
      <c r="F1399" s="37"/>
    </row>
    <row r="1400" spans="2:6" x14ac:dyDescent="0.25">
      <c r="B1400" s="38">
        <v>45980</v>
      </c>
      <c r="C1400" s="36" t="s">
        <v>142</v>
      </c>
      <c r="E1400">
        <v>15</v>
      </c>
      <c r="F1400" s="37"/>
    </row>
    <row r="1401" spans="2:6" x14ac:dyDescent="0.25">
      <c r="B1401" s="38">
        <v>45980</v>
      </c>
      <c r="C1401" s="36" t="s">
        <v>452</v>
      </c>
      <c r="E1401">
        <v>20</v>
      </c>
      <c r="F1401" s="37"/>
    </row>
    <row r="1402" spans="2:6" x14ac:dyDescent="0.25">
      <c r="B1402" s="38">
        <v>45980</v>
      </c>
      <c r="C1402" s="36" t="s">
        <v>155</v>
      </c>
      <c r="E1402">
        <v>20</v>
      </c>
      <c r="F1402" s="37"/>
    </row>
    <row r="1403" spans="2:6" x14ac:dyDescent="0.25">
      <c r="B1403" s="38">
        <v>45980</v>
      </c>
      <c r="C1403" s="36" t="s">
        <v>143</v>
      </c>
      <c r="E1403">
        <v>10</v>
      </c>
      <c r="F1403" s="37"/>
    </row>
    <row r="1404" spans="2:6" x14ac:dyDescent="0.25">
      <c r="B1404" s="38">
        <v>45980</v>
      </c>
      <c r="C1404" s="36" t="s">
        <v>548</v>
      </c>
      <c r="E1404">
        <v>10</v>
      </c>
      <c r="F1404" s="37"/>
    </row>
    <row r="1405" spans="2:6" x14ac:dyDescent="0.25">
      <c r="B1405" s="38">
        <v>45980</v>
      </c>
      <c r="C1405" s="36" t="s">
        <v>140</v>
      </c>
      <c r="E1405">
        <v>10</v>
      </c>
      <c r="F1405" s="37"/>
    </row>
    <row r="1406" spans="2:6" x14ac:dyDescent="0.25">
      <c r="B1406" s="38">
        <v>45980</v>
      </c>
      <c r="C1406" s="36" t="s">
        <v>139</v>
      </c>
      <c r="E1406">
        <v>10</v>
      </c>
      <c r="F1406" s="37"/>
    </row>
    <row r="1407" spans="2:6" x14ac:dyDescent="0.25">
      <c r="B1407" s="38">
        <v>45980</v>
      </c>
      <c r="C1407" s="36" t="s">
        <v>138</v>
      </c>
      <c r="E1407">
        <v>10</v>
      </c>
      <c r="F1407" s="37"/>
    </row>
    <row r="1408" spans="2:6" x14ac:dyDescent="0.25">
      <c r="B1408" s="38">
        <v>45980</v>
      </c>
      <c r="C1408" s="36" t="s">
        <v>145</v>
      </c>
      <c r="E1408">
        <v>20</v>
      </c>
      <c r="F1408" s="37"/>
    </row>
    <row r="1409" spans="2:6" x14ac:dyDescent="0.25">
      <c r="B1409" s="38">
        <v>45980</v>
      </c>
      <c r="C1409" s="36" t="s">
        <v>552</v>
      </c>
      <c r="E1409">
        <v>20</v>
      </c>
      <c r="F1409" s="37"/>
    </row>
    <row r="1410" spans="2:6" x14ac:dyDescent="0.25">
      <c r="B1410" s="38">
        <v>45980</v>
      </c>
      <c r="C1410" s="36" t="s">
        <v>551</v>
      </c>
      <c r="E1410">
        <v>20</v>
      </c>
      <c r="F1410" s="37"/>
    </row>
    <row r="1411" spans="2:6" x14ac:dyDescent="0.25">
      <c r="B1411" s="38">
        <v>45980</v>
      </c>
      <c r="C1411" s="36" t="s">
        <v>527</v>
      </c>
      <c r="E1411">
        <v>10</v>
      </c>
      <c r="F1411" s="37"/>
    </row>
    <row r="1412" spans="2:6" x14ac:dyDescent="0.25">
      <c r="B1412" s="38">
        <v>45980</v>
      </c>
      <c r="C1412" s="36" t="s">
        <v>250</v>
      </c>
      <c r="E1412">
        <v>20</v>
      </c>
      <c r="F1412" s="37"/>
    </row>
    <row r="1413" spans="2:6" x14ac:dyDescent="0.25">
      <c r="B1413" s="38">
        <v>45980</v>
      </c>
      <c r="C1413" s="36" t="s">
        <v>171</v>
      </c>
      <c r="E1413">
        <v>5</v>
      </c>
      <c r="F1413" s="37"/>
    </row>
    <row r="1414" spans="2:6" x14ac:dyDescent="0.25">
      <c r="B1414" s="38">
        <v>45980</v>
      </c>
      <c r="C1414" s="36" t="s">
        <v>493</v>
      </c>
      <c r="E1414">
        <v>10</v>
      </c>
      <c r="F1414" s="37"/>
    </row>
    <row r="1415" spans="2:6" x14ac:dyDescent="0.25">
      <c r="B1415" s="38">
        <v>45980</v>
      </c>
      <c r="C1415" s="36" t="s">
        <v>557</v>
      </c>
      <c r="E1415">
        <v>10</v>
      </c>
      <c r="F1415" s="37"/>
    </row>
    <row r="1416" spans="2:6" x14ac:dyDescent="0.25">
      <c r="B1416" s="38">
        <v>45980</v>
      </c>
      <c r="C1416" s="36" t="s">
        <v>556</v>
      </c>
      <c r="E1416">
        <v>5</v>
      </c>
      <c r="F1416" s="37"/>
    </row>
    <row r="1417" spans="2:6" x14ac:dyDescent="0.25">
      <c r="B1417" s="38">
        <v>45980</v>
      </c>
      <c r="C1417" s="36" t="s">
        <v>471</v>
      </c>
      <c r="E1417">
        <v>10</v>
      </c>
      <c r="F1417" s="37"/>
    </row>
    <row r="1418" spans="2:6" x14ac:dyDescent="0.25">
      <c r="B1418" s="38">
        <v>45980</v>
      </c>
      <c r="C1418" s="36" t="s">
        <v>445</v>
      </c>
      <c r="E1418">
        <v>5</v>
      </c>
      <c r="F1418" s="37"/>
    </row>
    <row r="1419" spans="2:6" x14ac:dyDescent="0.25">
      <c r="B1419" s="38">
        <v>45980</v>
      </c>
      <c r="C1419" s="36" t="s">
        <v>443</v>
      </c>
      <c r="E1419">
        <v>5</v>
      </c>
      <c r="F1419" s="37"/>
    </row>
    <row r="1420" spans="2:6" x14ac:dyDescent="0.25">
      <c r="B1420" s="38">
        <v>45980</v>
      </c>
      <c r="C1420" s="36" t="s">
        <v>502</v>
      </c>
      <c r="E1420">
        <v>5</v>
      </c>
      <c r="F1420" s="37"/>
    </row>
    <row r="1421" spans="2:6" x14ac:dyDescent="0.25">
      <c r="B1421" s="38">
        <v>45980</v>
      </c>
      <c r="C1421" s="36" t="s">
        <v>234</v>
      </c>
      <c r="E1421">
        <v>5</v>
      </c>
      <c r="F1421" s="37"/>
    </row>
    <row r="1422" spans="2:6" x14ac:dyDescent="0.25">
      <c r="B1422" s="38">
        <v>45980</v>
      </c>
      <c r="C1422" s="36" t="s">
        <v>235</v>
      </c>
      <c r="E1422">
        <v>5</v>
      </c>
      <c r="F1422" s="37"/>
    </row>
    <row r="1423" spans="2:6" x14ac:dyDescent="0.25">
      <c r="B1423" s="38">
        <v>45980</v>
      </c>
      <c r="C1423" s="36" t="s">
        <v>550</v>
      </c>
      <c r="E1423">
        <v>10</v>
      </c>
      <c r="F1423" s="37"/>
    </row>
    <row r="1424" spans="2:6" x14ac:dyDescent="0.25">
      <c r="B1424" s="38">
        <v>45980</v>
      </c>
      <c r="C1424" s="36" t="s">
        <v>533</v>
      </c>
      <c r="E1424">
        <v>10</v>
      </c>
      <c r="F1424" s="37"/>
    </row>
    <row r="1425" spans="2:6" x14ac:dyDescent="0.25">
      <c r="B1425" s="38">
        <v>45980</v>
      </c>
      <c r="C1425" s="36" t="s">
        <v>201</v>
      </c>
      <c r="E1425">
        <v>5</v>
      </c>
      <c r="F1425" s="37"/>
    </row>
    <row r="1426" spans="2:6" x14ac:dyDescent="0.25">
      <c r="B1426" s="38">
        <v>45980</v>
      </c>
      <c r="C1426" s="36" t="s">
        <v>346</v>
      </c>
      <c r="E1426">
        <v>10</v>
      </c>
      <c r="F1426" s="37"/>
    </row>
    <row r="1427" spans="2:6" x14ac:dyDescent="0.25">
      <c r="B1427" s="38">
        <v>45980</v>
      </c>
      <c r="C1427" s="36" t="s">
        <v>378</v>
      </c>
      <c r="E1427">
        <v>5</v>
      </c>
      <c r="F1427" s="37"/>
    </row>
    <row r="1428" spans="2:6" x14ac:dyDescent="0.25">
      <c r="B1428" s="38">
        <v>45980</v>
      </c>
      <c r="C1428" s="36" t="s">
        <v>489</v>
      </c>
      <c r="E1428">
        <v>10</v>
      </c>
      <c r="F1428" s="37"/>
    </row>
    <row r="1429" spans="2:6" x14ac:dyDescent="0.25">
      <c r="B1429" s="38">
        <v>45980</v>
      </c>
      <c r="C1429" s="36" t="s">
        <v>497</v>
      </c>
      <c r="E1429">
        <v>10</v>
      </c>
      <c r="F1429" s="37"/>
    </row>
    <row r="1430" spans="2:6" x14ac:dyDescent="0.25">
      <c r="B1430" s="38">
        <v>45980</v>
      </c>
      <c r="C1430" s="36" t="s">
        <v>545</v>
      </c>
      <c r="E1430">
        <v>10</v>
      </c>
      <c r="F1430" s="37"/>
    </row>
    <row r="1431" spans="2:6" x14ac:dyDescent="0.25">
      <c r="B1431" s="38">
        <v>45980</v>
      </c>
      <c r="C1431" s="36" t="s">
        <v>547</v>
      </c>
      <c r="E1431">
        <v>5</v>
      </c>
      <c r="F1431" s="37"/>
    </row>
    <row r="1432" spans="2:6" x14ac:dyDescent="0.25">
      <c r="B1432" s="38">
        <v>45980</v>
      </c>
      <c r="C1432" s="36" t="s">
        <v>499</v>
      </c>
      <c r="E1432">
        <v>5</v>
      </c>
      <c r="F1432" s="37"/>
    </row>
    <row r="1433" spans="2:6" x14ac:dyDescent="0.25">
      <c r="B1433" s="38">
        <v>45980</v>
      </c>
      <c r="C1433" s="36" t="s">
        <v>232</v>
      </c>
      <c r="E1433">
        <v>2</v>
      </c>
      <c r="F1433" s="37"/>
    </row>
    <row r="1434" spans="2:6" x14ac:dyDescent="0.25">
      <c r="B1434" s="38">
        <v>45980</v>
      </c>
      <c r="C1434" s="36" t="s">
        <v>562</v>
      </c>
      <c r="E1434">
        <v>5</v>
      </c>
      <c r="F1434" s="37"/>
    </row>
    <row r="1435" spans="2:6" x14ac:dyDescent="0.25">
      <c r="B1435" s="38">
        <v>45980</v>
      </c>
      <c r="C1435" s="36" t="s">
        <v>559</v>
      </c>
      <c r="E1435">
        <v>4</v>
      </c>
      <c r="F1435" s="37"/>
    </row>
    <row r="1436" spans="2:6" x14ac:dyDescent="0.25">
      <c r="B1436" s="38">
        <v>45980</v>
      </c>
      <c r="C1436" s="36" t="s">
        <v>270</v>
      </c>
      <c r="E1436">
        <v>10</v>
      </c>
      <c r="F1436" s="37"/>
    </row>
    <row r="1437" spans="2:6" x14ac:dyDescent="0.25">
      <c r="B1437" s="38">
        <v>45980</v>
      </c>
      <c r="C1437" s="36" t="s">
        <v>523</v>
      </c>
      <c r="E1437">
        <v>10</v>
      </c>
      <c r="F1437" s="37"/>
    </row>
    <row r="1438" spans="2:6" x14ac:dyDescent="0.25">
      <c r="B1438" s="38">
        <v>45980</v>
      </c>
      <c r="C1438" s="36" t="s">
        <v>217</v>
      </c>
      <c r="E1438">
        <v>1</v>
      </c>
      <c r="F1438" s="37"/>
    </row>
    <row r="1439" spans="2:6" x14ac:dyDescent="0.25">
      <c r="B1439" s="38">
        <v>45980</v>
      </c>
      <c r="C1439" s="36" t="s">
        <v>249</v>
      </c>
      <c r="E1439">
        <v>2</v>
      </c>
      <c r="F1439" s="37"/>
    </row>
    <row r="1440" spans="2:6" x14ac:dyDescent="0.25">
      <c r="B1440" s="38">
        <v>45980</v>
      </c>
      <c r="C1440" s="36" t="s">
        <v>237</v>
      </c>
      <c r="E1440">
        <v>5</v>
      </c>
      <c r="F1440" s="37"/>
    </row>
    <row r="1441" spans="2:6" x14ac:dyDescent="0.25">
      <c r="B1441" s="38">
        <v>45980</v>
      </c>
      <c r="C1441" s="36" t="s">
        <v>160</v>
      </c>
      <c r="E1441">
        <v>2</v>
      </c>
      <c r="F1441" s="37"/>
    </row>
    <row r="1442" spans="2:6" x14ac:dyDescent="0.25">
      <c r="B1442" s="38">
        <v>45981</v>
      </c>
      <c r="C1442" s="36" t="s">
        <v>525</v>
      </c>
      <c r="D1442">
        <v>80</v>
      </c>
      <c r="F1442" s="37" t="s">
        <v>564</v>
      </c>
    </row>
    <row r="1443" spans="2:6" x14ac:dyDescent="0.25">
      <c r="B1443" s="38">
        <v>45981</v>
      </c>
      <c r="C1443" s="36" t="s">
        <v>525</v>
      </c>
      <c r="E1443">
        <v>20</v>
      </c>
      <c r="F1443" s="37"/>
    </row>
    <row r="1444" spans="2:6" x14ac:dyDescent="0.25">
      <c r="B1444" s="38">
        <v>45982</v>
      </c>
      <c r="C1444" s="36" t="s">
        <v>488</v>
      </c>
      <c r="D1444">
        <v>10</v>
      </c>
      <c r="F1444" s="37" t="s">
        <v>413</v>
      </c>
    </row>
    <row r="1445" spans="2:6" x14ac:dyDescent="0.25">
      <c r="B1445" s="38">
        <v>45982</v>
      </c>
      <c r="C1445" s="36" t="s">
        <v>472</v>
      </c>
      <c r="D1445">
        <v>20</v>
      </c>
      <c r="F1445" s="37" t="s">
        <v>413</v>
      </c>
    </row>
    <row r="1446" spans="2:6" x14ac:dyDescent="0.25">
      <c r="B1446" s="38">
        <v>45982</v>
      </c>
      <c r="C1446" s="36" t="s">
        <v>492</v>
      </c>
      <c r="D1446">
        <v>50</v>
      </c>
      <c r="F1446" s="37" t="s">
        <v>413</v>
      </c>
    </row>
    <row r="1447" spans="2:6" x14ac:dyDescent="0.25">
      <c r="B1447" s="38">
        <v>45982</v>
      </c>
      <c r="C1447" s="36" t="s">
        <v>400</v>
      </c>
      <c r="D1447">
        <v>10</v>
      </c>
      <c r="F1447" s="37" t="s">
        <v>413</v>
      </c>
    </row>
    <row r="1448" spans="2:6" x14ac:dyDescent="0.25">
      <c r="B1448" s="38">
        <v>45982</v>
      </c>
      <c r="C1448" s="36" t="s">
        <v>493</v>
      </c>
      <c r="D1448">
        <v>10</v>
      </c>
      <c r="F1448" s="37" t="s">
        <v>413</v>
      </c>
    </row>
    <row r="1449" spans="2:6" x14ac:dyDescent="0.25">
      <c r="B1449" s="38">
        <v>45982</v>
      </c>
      <c r="C1449" s="36" t="s">
        <v>468</v>
      </c>
      <c r="D1449">
        <v>30</v>
      </c>
      <c r="F1449" s="37" t="s">
        <v>413</v>
      </c>
    </row>
    <row r="1450" spans="2:6" x14ac:dyDescent="0.25">
      <c r="B1450" s="38">
        <v>45982</v>
      </c>
      <c r="C1450" s="36" t="s">
        <v>567</v>
      </c>
      <c r="D1450">
        <v>20</v>
      </c>
      <c r="F1450" s="37" t="s">
        <v>413</v>
      </c>
    </row>
    <row r="1451" spans="2:6" x14ac:dyDescent="0.25">
      <c r="B1451" s="38">
        <v>45982</v>
      </c>
      <c r="C1451" s="36" t="s">
        <v>566</v>
      </c>
      <c r="D1451">
        <v>40</v>
      </c>
      <c r="F1451" s="37" t="s">
        <v>413</v>
      </c>
    </row>
    <row r="1452" spans="2:6" x14ac:dyDescent="0.25">
      <c r="B1452" s="38">
        <v>45982</v>
      </c>
      <c r="C1452" s="36" t="s">
        <v>569</v>
      </c>
      <c r="D1452">
        <v>20</v>
      </c>
      <c r="F1452" s="37" t="s">
        <v>413</v>
      </c>
    </row>
    <row r="1453" spans="2:6" x14ac:dyDescent="0.25">
      <c r="B1453" s="38">
        <v>45982</v>
      </c>
      <c r="C1453" s="36" t="s">
        <v>573</v>
      </c>
      <c r="D1453">
        <v>20</v>
      </c>
      <c r="F1453" s="37" t="s">
        <v>413</v>
      </c>
    </row>
    <row r="1454" spans="2:6" x14ac:dyDescent="0.25">
      <c r="B1454" s="38">
        <v>45982</v>
      </c>
      <c r="C1454" s="36" t="s">
        <v>565</v>
      </c>
      <c r="D1454">
        <v>20</v>
      </c>
      <c r="F1454" s="37" t="s">
        <v>413</v>
      </c>
    </row>
    <row r="1455" spans="2:6" x14ac:dyDescent="0.25">
      <c r="B1455" s="38">
        <v>45982</v>
      </c>
      <c r="C1455" s="36" t="s">
        <v>400</v>
      </c>
      <c r="E1455">
        <v>5</v>
      </c>
      <c r="F1455" s="37"/>
    </row>
    <row r="1456" spans="2:6" x14ac:dyDescent="0.25">
      <c r="B1456" s="38">
        <v>45982</v>
      </c>
      <c r="C1456" s="36" t="s">
        <v>565</v>
      </c>
      <c r="E1456">
        <v>10</v>
      </c>
      <c r="F1456" s="37"/>
    </row>
    <row r="1457" spans="2:6" x14ac:dyDescent="0.25">
      <c r="B1457" s="38">
        <v>45982</v>
      </c>
      <c r="C1457" s="36" t="s">
        <v>492</v>
      </c>
      <c r="E1457">
        <v>10</v>
      </c>
      <c r="F1457" s="37"/>
    </row>
    <row r="1458" spans="2:6" x14ac:dyDescent="0.25">
      <c r="B1458" s="38">
        <v>45982</v>
      </c>
      <c r="C1458" s="36" t="s">
        <v>551</v>
      </c>
      <c r="E1458">
        <v>10</v>
      </c>
      <c r="F1458" s="37"/>
    </row>
    <row r="1459" spans="2:6" x14ac:dyDescent="0.25">
      <c r="B1459" s="38">
        <v>45983</v>
      </c>
      <c r="C1459" s="36" t="s">
        <v>467</v>
      </c>
      <c r="E1459">
        <v>1</v>
      </c>
      <c r="F1459" s="37"/>
    </row>
    <row r="1460" spans="2:6" x14ac:dyDescent="0.25">
      <c r="B1460" s="38">
        <v>45983</v>
      </c>
      <c r="C1460" s="36" t="s">
        <v>544</v>
      </c>
      <c r="E1460">
        <v>1</v>
      </c>
      <c r="F1460" s="37"/>
    </row>
    <row r="1461" spans="2:6" x14ac:dyDescent="0.25">
      <c r="B1461" s="38">
        <v>45983</v>
      </c>
      <c r="C1461" s="36" t="s">
        <v>473</v>
      </c>
      <c r="E1461">
        <v>1</v>
      </c>
      <c r="F1461" s="37"/>
    </row>
    <row r="1462" spans="2:6" x14ac:dyDescent="0.25">
      <c r="B1462" s="38">
        <v>45983</v>
      </c>
      <c r="C1462" s="36" t="s">
        <v>112</v>
      </c>
      <c r="E1462">
        <v>1</v>
      </c>
      <c r="F1462" s="37"/>
    </row>
    <row r="1463" spans="2:6" x14ac:dyDescent="0.25">
      <c r="B1463" s="38">
        <v>45983</v>
      </c>
      <c r="C1463" s="36" t="s">
        <v>466</v>
      </c>
      <c r="E1463">
        <v>1</v>
      </c>
      <c r="F1463" s="37"/>
    </row>
    <row r="1464" spans="2:6" x14ac:dyDescent="0.25">
      <c r="B1464" s="38">
        <v>45983</v>
      </c>
      <c r="C1464" s="36" t="s">
        <v>468</v>
      </c>
      <c r="E1464">
        <v>1</v>
      </c>
      <c r="F1464" s="37"/>
    </row>
    <row r="1465" spans="2:6" x14ac:dyDescent="0.25">
      <c r="B1465" s="38">
        <v>45983</v>
      </c>
      <c r="C1465" s="36" t="s">
        <v>445</v>
      </c>
      <c r="E1465">
        <v>5</v>
      </c>
      <c r="F1465" s="37"/>
    </row>
    <row r="1466" spans="2:6" x14ac:dyDescent="0.25">
      <c r="B1466" s="38">
        <v>45983</v>
      </c>
      <c r="C1466" s="36" t="s">
        <v>551</v>
      </c>
      <c r="E1466">
        <v>20</v>
      </c>
      <c r="F1466" s="37"/>
    </row>
    <row r="1467" spans="2:6" x14ac:dyDescent="0.25">
      <c r="B1467" s="38">
        <v>45983</v>
      </c>
      <c r="C1467" s="36" t="s">
        <v>419</v>
      </c>
      <c r="E1467">
        <v>10</v>
      </c>
      <c r="F1467" s="37"/>
    </row>
    <row r="1468" spans="2:6" x14ac:dyDescent="0.25">
      <c r="B1468" s="38">
        <v>45983</v>
      </c>
      <c r="C1468" s="36" t="s">
        <v>420</v>
      </c>
      <c r="E1468">
        <v>10</v>
      </c>
      <c r="F1468" s="37"/>
    </row>
    <row r="1469" spans="2:6" x14ac:dyDescent="0.25">
      <c r="B1469" s="38">
        <v>45983</v>
      </c>
      <c r="C1469" s="36" t="s">
        <v>145</v>
      </c>
      <c r="E1469">
        <v>20</v>
      </c>
      <c r="F1469" s="37"/>
    </row>
    <row r="1470" spans="2:6" x14ac:dyDescent="0.25">
      <c r="B1470" s="38">
        <v>45983</v>
      </c>
      <c r="C1470" s="36" t="s">
        <v>548</v>
      </c>
      <c r="E1470">
        <v>10</v>
      </c>
      <c r="F1470" s="37"/>
    </row>
    <row r="1471" spans="2:6" x14ac:dyDescent="0.25">
      <c r="B1471" s="38">
        <v>45983</v>
      </c>
      <c r="C1471" s="36" t="s">
        <v>472</v>
      </c>
      <c r="E1471">
        <v>10</v>
      </c>
      <c r="F1471" s="37"/>
    </row>
    <row r="1472" spans="2:6" x14ac:dyDescent="0.25">
      <c r="B1472" s="38">
        <v>45983</v>
      </c>
      <c r="C1472" s="36" t="s">
        <v>465</v>
      </c>
      <c r="E1472">
        <v>10</v>
      </c>
      <c r="F1472" s="37"/>
    </row>
    <row r="1473" spans="2:6" x14ac:dyDescent="0.25">
      <c r="B1473" s="38">
        <v>45983</v>
      </c>
      <c r="C1473" s="36" t="s">
        <v>566</v>
      </c>
      <c r="E1473">
        <v>20</v>
      </c>
      <c r="F1473" s="37"/>
    </row>
    <row r="1474" spans="2:6" x14ac:dyDescent="0.25">
      <c r="B1474" s="38">
        <v>45983</v>
      </c>
      <c r="C1474" s="36" t="s">
        <v>544</v>
      </c>
      <c r="E1474">
        <v>9</v>
      </c>
      <c r="F1474" s="37"/>
    </row>
    <row r="1475" spans="2:6" x14ac:dyDescent="0.25">
      <c r="B1475" s="38">
        <v>45983</v>
      </c>
      <c r="C1475" s="36" t="s">
        <v>571</v>
      </c>
      <c r="D1475">
        <v>26</v>
      </c>
      <c r="F1475" s="37" t="s">
        <v>413</v>
      </c>
    </row>
    <row r="1476" spans="2:6" x14ac:dyDescent="0.25">
      <c r="B1476" s="38">
        <v>45983</v>
      </c>
      <c r="C1476" s="36" t="s">
        <v>574</v>
      </c>
      <c r="D1476">
        <v>20</v>
      </c>
      <c r="F1476" s="37" t="s">
        <v>576</v>
      </c>
    </row>
    <row r="1477" spans="2:6" x14ac:dyDescent="0.25">
      <c r="B1477" s="38">
        <v>45983</v>
      </c>
      <c r="C1477" s="36" t="s">
        <v>575</v>
      </c>
      <c r="D1477">
        <v>20</v>
      </c>
      <c r="F1477" s="37" t="s">
        <v>576</v>
      </c>
    </row>
    <row r="1478" spans="2:6" x14ac:dyDescent="0.25">
      <c r="B1478" s="38">
        <v>45985</v>
      </c>
      <c r="C1478" s="36" t="s">
        <v>580</v>
      </c>
      <c r="D1478">
        <v>30</v>
      </c>
      <c r="F1478" s="37" t="s">
        <v>509</v>
      </c>
    </row>
    <row r="1479" spans="2:6" x14ac:dyDescent="0.25">
      <c r="B1479" s="38">
        <v>45985</v>
      </c>
      <c r="C1479" s="36" t="s">
        <v>397</v>
      </c>
      <c r="D1479">
        <v>50</v>
      </c>
      <c r="F1479" s="37" t="s">
        <v>509</v>
      </c>
    </row>
    <row r="1480" spans="2:6" x14ac:dyDescent="0.25">
      <c r="B1480" s="38">
        <v>45985</v>
      </c>
      <c r="C1480" s="36" t="s">
        <v>171</v>
      </c>
      <c r="D1480">
        <v>30</v>
      </c>
      <c r="F1480" s="37" t="s">
        <v>509</v>
      </c>
    </row>
    <row r="1481" spans="2:6" x14ac:dyDescent="0.25">
      <c r="B1481" s="38">
        <v>45985</v>
      </c>
      <c r="C1481" s="36" t="s">
        <v>159</v>
      </c>
      <c r="D1481">
        <v>20</v>
      </c>
      <c r="F1481" s="37" t="s">
        <v>509</v>
      </c>
    </row>
    <row r="1482" spans="2:6" x14ac:dyDescent="0.25">
      <c r="B1482" s="38">
        <v>45985</v>
      </c>
      <c r="C1482" s="36" t="s">
        <v>173</v>
      </c>
      <c r="D1482">
        <v>20</v>
      </c>
      <c r="F1482" s="37" t="s">
        <v>509</v>
      </c>
    </row>
    <row r="1483" spans="2:6" x14ac:dyDescent="0.25">
      <c r="B1483" s="38">
        <v>45985</v>
      </c>
      <c r="C1483" s="36" t="s">
        <v>577</v>
      </c>
      <c r="D1483">
        <v>5</v>
      </c>
      <c r="F1483" s="37" t="s">
        <v>509</v>
      </c>
    </row>
    <row r="1484" spans="2:6" x14ac:dyDescent="0.25">
      <c r="B1484" s="38">
        <v>45985</v>
      </c>
      <c r="C1484" s="36" t="s">
        <v>506</v>
      </c>
      <c r="D1484">
        <v>20</v>
      </c>
      <c r="F1484" s="37" t="s">
        <v>509</v>
      </c>
    </row>
    <row r="1485" spans="2:6" x14ac:dyDescent="0.25">
      <c r="B1485" s="38">
        <v>45985</v>
      </c>
      <c r="C1485" s="36" t="s">
        <v>579</v>
      </c>
      <c r="D1485">
        <v>10</v>
      </c>
      <c r="F1485" s="37" t="s">
        <v>509</v>
      </c>
    </row>
    <row r="1486" spans="2:6" x14ac:dyDescent="0.25">
      <c r="B1486" s="38">
        <v>45985</v>
      </c>
      <c r="C1486" s="36" t="s">
        <v>592</v>
      </c>
      <c r="D1486">
        <v>20</v>
      </c>
      <c r="F1486" s="37" t="s">
        <v>509</v>
      </c>
    </row>
    <row r="1487" spans="2:6" x14ac:dyDescent="0.25">
      <c r="B1487" s="38">
        <v>45985</v>
      </c>
      <c r="C1487" s="36" t="s">
        <v>582</v>
      </c>
      <c r="D1487">
        <v>10</v>
      </c>
      <c r="F1487" s="37" t="s">
        <v>509</v>
      </c>
    </row>
    <row r="1488" spans="2:6" x14ac:dyDescent="0.25">
      <c r="B1488" s="38">
        <v>45985</v>
      </c>
      <c r="C1488" s="36" t="s">
        <v>583</v>
      </c>
      <c r="D1488">
        <v>20</v>
      </c>
      <c r="F1488" s="37" t="s">
        <v>509</v>
      </c>
    </row>
    <row r="1489" spans="2:6" x14ac:dyDescent="0.25">
      <c r="B1489" s="38">
        <v>45985</v>
      </c>
      <c r="C1489" s="36" t="s">
        <v>585</v>
      </c>
      <c r="D1489">
        <v>20</v>
      </c>
      <c r="F1489" s="37" t="s">
        <v>509</v>
      </c>
    </row>
    <row r="1490" spans="2:6" x14ac:dyDescent="0.25">
      <c r="B1490" s="38">
        <v>45985</v>
      </c>
      <c r="C1490" s="36" t="s">
        <v>586</v>
      </c>
      <c r="D1490">
        <v>20</v>
      </c>
      <c r="F1490" s="37" t="s">
        <v>509</v>
      </c>
    </row>
    <row r="1491" spans="2:6" x14ac:dyDescent="0.25">
      <c r="B1491" s="38">
        <v>45985</v>
      </c>
      <c r="C1491" s="36" t="s">
        <v>124</v>
      </c>
      <c r="D1491">
        <v>50</v>
      </c>
      <c r="F1491" s="37" t="s">
        <v>509</v>
      </c>
    </row>
    <row r="1492" spans="2:6" x14ac:dyDescent="0.25">
      <c r="B1492" s="38">
        <v>45985</v>
      </c>
      <c r="C1492" s="36" t="s">
        <v>374</v>
      </c>
      <c r="D1492">
        <v>20</v>
      </c>
      <c r="F1492" s="37" t="s">
        <v>509</v>
      </c>
    </row>
    <row r="1493" spans="2:6" x14ac:dyDescent="0.25">
      <c r="B1493" s="38">
        <v>45985</v>
      </c>
      <c r="C1493" s="36" t="s">
        <v>588</v>
      </c>
      <c r="D1493">
        <v>20</v>
      </c>
      <c r="F1493" s="37" t="s">
        <v>509</v>
      </c>
    </row>
    <row r="1494" spans="2:6" x14ac:dyDescent="0.25">
      <c r="B1494" s="38">
        <v>45985</v>
      </c>
      <c r="C1494" s="36" t="s">
        <v>590</v>
      </c>
      <c r="D1494">
        <v>20</v>
      </c>
      <c r="F1494" s="37" t="s">
        <v>509</v>
      </c>
    </row>
    <row r="1495" spans="2:6" x14ac:dyDescent="0.25">
      <c r="B1495" s="38">
        <v>45985</v>
      </c>
      <c r="C1495" s="36" t="s">
        <v>583</v>
      </c>
      <c r="E1495">
        <v>5</v>
      </c>
      <c r="F1495" s="37"/>
    </row>
    <row r="1496" spans="2:6" x14ac:dyDescent="0.25">
      <c r="B1496" s="38">
        <v>45985</v>
      </c>
      <c r="C1496" s="36" t="s">
        <v>585</v>
      </c>
      <c r="E1496">
        <v>5</v>
      </c>
      <c r="F1496" s="37"/>
    </row>
    <row r="1497" spans="2:6" x14ac:dyDescent="0.25">
      <c r="B1497" s="38">
        <v>45985</v>
      </c>
      <c r="C1497" s="36" t="s">
        <v>374</v>
      </c>
      <c r="E1497">
        <v>10</v>
      </c>
      <c r="F1497" s="37"/>
    </row>
    <row r="1498" spans="2:6" x14ac:dyDescent="0.25">
      <c r="B1498" s="38">
        <v>45985</v>
      </c>
      <c r="C1498" s="36" t="s">
        <v>588</v>
      </c>
      <c r="E1498">
        <v>10</v>
      </c>
      <c r="F1498" s="37"/>
    </row>
    <row r="1499" spans="2:6" x14ac:dyDescent="0.25">
      <c r="B1499" s="38">
        <v>45985</v>
      </c>
      <c r="C1499" s="36" t="s">
        <v>582</v>
      </c>
      <c r="E1499">
        <v>1</v>
      </c>
      <c r="F1499" s="37"/>
    </row>
    <row r="1500" spans="2:6" x14ac:dyDescent="0.25">
      <c r="B1500" s="38">
        <v>45985</v>
      </c>
      <c r="C1500" s="36" t="s">
        <v>173</v>
      </c>
      <c r="E1500">
        <v>5</v>
      </c>
      <c r="F1500" s="37"/>
    </row>
    <row r="1501" spans="2:6" x14ac:dyDescent="0.25">
      <c r="B1501" s="38">
        <v>45985</v>
      </c>
      <c r="C1501" s="36" t="s">
        <v>577</v>
      </c>
      <c r="E1501">
        <v>1</v>
      </c>
      <c r="F1501" s="37"/>
    </row>
    <row r="1502" spans="2:6" x14ac:dyDescent="0.25">
      <c r="B1502" s="38">
        <v>45985</v>
      </c>
      <c r="C1502" s="36" t="s">
        <v>592</v>
      </c>
      <c r="E1502">
        <v>10</v>
      </c>
      <c r="F1502" s="37"/>
    </row>
    <row r="1503" spans="2:6" x14ac:dyDescent="0.25">
      <c r="B1503" s="38">
        <v>45985</v>
      </c>
      <c r="C1503" s="36" t="s">
        <v>124</v>
      </c>
      <c r="E1503">
        <v>10</v>
      </c>
      <c r="F1503" s="37"/>
    </row>
    <row r="1504" spans="2:6" x14ac:dyDescent="0.25">
      <c r="B1504" s="38">
        <v>45985</v>
      </c>
      <c r="C1504" s="36" t="s">
        <v>586</v>
      </c>
      <c r="E1504">
        <v>10</v>
      </c>
      <c r="F1504" s="37"/>
    </row>
    <row r="1505" spans="2:6" x14ac:dyDescent="0.25">
      <c r="B1505" s="38">
        <v>45985</v>
      </c>
      <c r="C1505" s="36" t="s">
        <v>580</v>
      </c>
      <c r="E1505">
        <v>10</v>
      </c>
      <c r="F1505" s="37"/>
    </row>
    <row r="1506" spans="2:6" x14ac:dyDescent="0.25">
      <c r="B1506" s="38">
        <v>45985</v>
      </c>
      <c r="C1506" s="36" t="s">
        <v>397</v>
      </c>
      <c r="E1506">
        <v>10</v>
      </c>
      <c r="F1506" s="37"/>
    </row>
    <row r="1507" spans="2:6" x14ac:dyDescent="0.25">
      <c r="B1507" s="38">
        <v>45985</v>
      </c>
      <c r="C1507" s="36" t="s">
        <v>159</v>
      </c>
      <c r="E1507">
        <v>5</v>
      </c>
      <c r="F1507" s="37"/>
    </row>
    <row r="1508" spans="2:6" x14ac:dyDescent="0.25">
      <c r="B1508" s="38">
        <v>45985</v>
      </c>
      <c r="C1508" s="36" t="s">
        <v>574</v>
      </c>
      <c r="E1508">
        <v>10</v>
      </c>
      <c r="F1508" s="37"/>
    </row>
    <row r="1509" spans="2:6" x14ac:dyDescent="0.25">
      <c r="B1509" s="38">
        <v>45985</v>
      </c>
      <c r="C1509" s="36" t="s">
        <v>575</v>
      </c>
      <c r="E1509">
        <v>10</v>
      </c>
      <c r="F1509" s="37"/>
    </row>
    <row r="1510" spans="2:6" x14ac:dyDescent="0.25">
      <c r="B1510" s="38">
        <v>45985</v>
      </c>
      <c r="C1510" s="36" t="s">
        <v>571</v>
      </c>
      <c r="E1510">
        <v>6</v>
      </c>
      <c r="F1510" s="37"/>
    </row>
    <row r="1511" spans="2:6" x14ac:dyDescent="0.25">
      <c r="B1511" s="38">
        <v>45985</v>
      </c>
      <c r="C1511" s="36" t="s">
        <v>525</v>
      </c>
      <c r="E1511">
        <v>10</v>
      </c>
      <c r="F1511" s="37"/>
    </row>
    <row r="1512" spans="2:6" x14ac:dyDescent="0.25">
      <c r="B1512" s="38">
        <v>45985</v>
      </c>
      <c r="C1512" s="36" t="s">
        <v>551</v>
      </c>
      <c r="E1512">
        <v>20</v>
      </c>
      <c r="F1512" s="37"/>
    </row>
    <row r="1513" spans="2:6" x14ac:dyDescent="0.25">
      <c r="B1513" s="38">
        <v>45986</v>
      </c>
      <c r="C1513" s="36" t="s">
        <v>489</v>
      </c>
      <c r="E1513">
        <v>5</v>
      </c>
      <c r="F1513" s="37"/>
    </row>
    <row r="1514" spans="2:6" x14ac:dyDescent="0.25">
      <c r="B1514" s="38">
        <v>45986</v>
      </c>
      <c r="C1514" s="36" t="s">
        <v>445</v>
      </c>
      <c r="E1514">
        <v>5</v>
      </c>
      <c r="F1514" s="37"/>
    </row>
    <row r="1515" spans="2:6" x14ac:dyDescent="0.25">
      <c r="B1515" s="38">
        <v>45986</v>
      </c>
      <c r="C1515" s="36" t="s">
        <v>443</v>
      </c>
      <c r="E1515">
        <v>5</v>
      </c>
      <c r="F1515" s="37"/>
    </row>
    <row r="1516" spans="2:6" x14ac:dyDescent="0.25">
      <c r="B1516" s="38">
        <v>45986</v>
      </c>
      <c r="C1516" s="36" t="s">
        <v>492</v>
      </c>
      <c r="E1516">
        <v>6</v>
      </c>
      <c r="F1516" s="37"/>
    </row>
    <row r="1517" spans="2:6" x14ac:dyDescent="0.25">
      <c r="B1517" s="38">
        <v>45986</v>
      </c>
      <c r="C1517" s="36" t="s">
        <v>497</v>
      </c>
      <c r="E1517">
        <v>10</v>
      </c>
      <c r="F1517" s="37"/>
    </row>
    <row r="1518" spans="2:6" x14ac:dyDescent="0.25">
      <c r="B1518" s="38">
        <v>45986</v>
      </c>
      <c r="C1518" s="36" t="s">
        <v>472</v>
      </c>
      <c r="E1518">
        <v>10</v>
      </c>
      <c r="F1518" s="37"/>
    </row>
    <row r="1519" spans="2:6" x14ac:dyDescent="0.25">
      <c r="B1519" s="38">
        <v>45986</v>
      </c>
      <c r="C1519" s="36" t="s">
        <v>420</v>
      </c>
      <c r="E1519">
        <v>10</v>
      </c>
      <c r="F1519" s="37"/>
    </row>
    <row r="1520" spans="2:6" x14ac:dyDescent="0.25">
      <c r="B1520" s="38">
        <v>45986</v>
      </c>
      <c r="C1520" s="36" t="s">
        <v>419</v>
      </c>
      <c r="E1520">
        <v>10</v>
      </c>
      <c r="F1520" s="37"/>
    </row>
    <row r="1521" spans="2:6" x14ac:dyDescent="0.25">
      <c r="B1521" s="38">
        <v>45986</v>
      </c>
      <c r="C1521" s="36" t="s">
        <v>149</v>
      </c>
      <c r="E1521">
        <v>10</v>
      </c>
      <c r="F1521" s="37"/>
    </row>
    <row r="1522" spans="2:6" x14ac:dyDescent="0.25">
      <c r="B1522" s="38">
        <v>45986</v>
      </c>
      <c r="C1522" s="36" t="s">
        <v>551</v>
      </c>
      <c r="E1522">
        <v>10</v>
      </c>
      <c r="F1522" s="37"/>
    </row>
    <row r="1523" spans="2:6" x14ac:dyDescent="0.25">
      <c r="B1523" s="38">
        <v>45987</v>
      </c>
      <c r="C1523" s="36" t="s">
        <v>524</v>
      </c>
      <c r="E1523">
        <v>10</v>
      </c>
      <c r="F1523" s="37"/>
    </row>
    <row r="1524" spans="2:6" x14ac:dyDescent="0.25">
      <c r="B1524" s="38">
        <v>45987</v>
      </c>
      <c r="C1524" s="36" t="s">
        <v>159</v>
      </c>
      <c r="E1524">
        <v>5</v>
      </c>
      <c r="F1524" s="37"/>
    </row>
    <row r="1525" spans="2:6" x14ac:dyDescent="0.25">
      <c r="B1525" s="38">
        <v>45987</v>
      </c>
      <c r="C1525" s="36" t="s">
        <v>499</v>
      </c>
      <c r="E1525">
        <v>5</v>
      </c>
      <c r="F1525" s="37"/>
    </row>
    <row r="1526" spans="2:6" x14ac:dyDescent="0.25">
      <c r="B1526" s="38">
        <v>45987</v>
      </c>
      <c r="C1526" s="36" t="s">
        <v>432</v>
      </c>
      <c r="E1526">
        <v>4</v>
      </c>
      <c r="F1526" s="37"/>
    </row>
    <row r="1527" spans="2:6" x14ac:dyDescent="0.25">
      <c r="B1527" s="38">
        <v>45987</v>
      </c>
      <c r="C1527" s="36" t="s">
        <v>595</v>
      </c>
      <c r="D1527">
        <v>20</v>
      </c>
      <c r="F1527" s="37" t="s">
        <v>509</v>
      </c>
    </row>
    <row r="1528" spans="2:6" x14ac:dyDescent="0.25">
      <c r="B1528" s="38">
        <v>45987</v>
      </c>
      <c r="C1528" s="36" t="s">
        <v>593</v>
      </c>
      <c r="D1528">
        <v>20</v>
      </c>
      <c r="F1528" s="37" t="s">
        <v>509</v>
      </c>
    </row>
    <row r="1529" spans="2:6" x14ac:dyDescent="0.25">
      <c r="B1529" s="38">
        <v>45987</v>
      </c>
      <c r="C1529" s="36" t="s">
        <v>551</v>
      </c>
      <c r="E1529">
        <v>15</v>
      </c>
      <c r="F1529" s="37"/>
    </row>
    <row r="1530" spans="2:6" x14ac:dyDescent="0.25">
      <c r="B1530" s="38">
        <v>45988</v>
      </c>
      <c r="C1530" s="36" t="s">
        <v>525</v>
      </c>
      <c r="E1530">
        <v>10</v>
      </c>
      <c r="F1530" s="37"/>
    </row>
    <row r="1531" spans="2:6" x14ac:dyDescent="0.25">
      <c r="B1531" s="38">
        <v>45988</v>
      </c>
      <c r="C1531" s="36" t="s">
        <v>493</v>
      </c>
      <c r="E1531">
        <v>10</v>
      </c>
      <c r="F1531" s="37"/>
    </row>
    <row r="1532" spans="2:6" x14ac:dyDescent="0.25">
      <c r="B1532" s="38">
        <v>45988</v>
      </c>
      <c r="C1532" s="36" t="s">
        <v>492</v>
      </c>
      <c r="E1532">
        <v>10</v>
      </c>
      <c r="F1532" s="37"/>
    </row>
    <row r="1533" spans="2:6" x14ac:dyDescent="0.25">
      <c r="B1533" s="38">
        <v>45988</v>
      </c>
      <c r="C1533" s="36" t="s">
        <v>489</v>
      </c>
      <c r="E1533">
        <v>10</v>
      </c>
      <c r="F1533" s="37"/>
    </row>
    <row r="1534" spans="2:6" x14ac:dyDescent="0.25">
      <c r="B1534" s="38">
        <v>45988</v>
      </c>
      <c r="C1534" s="36" t="s">
        <v>171</v>
      </c>
      <c r="E1534">
        <v>5</v>
      </c>
      <c r="F1534" s="37"/>
    </row>
    <row r="1535" spans="2:6" x14ac:dyDescent="0.25">
      <c r="B1535" s="38">
        <v>45988</v>
      </c>
      <c r="C1535" s="36" t="s">
        <v>545</v>
      </c>
      <c r="E1535">
        <v>10</v>
      </c>
      <c r="F1535" s="37"/>
    </row>
    <row r="1536" spans="2:6" x14ac:dyDescent="0.25">
      <c r="B1536" s="38">
        <v>45988</v>
      </c>
      <c r="C1536" s="36" t="s">
        <v>514</v>
      </c>
      <c r="E1536">
        <v>5</v>
      </c>
      <c r="F1536" s="37"/>
    </row>
    <row r="1537" spans="2:6" x14ac:dyDescent="0.25">
      <c r="B1537" s="38">
        <v>45988</v>
      </c>
      <c r="C1537" s="36" t="s">
        <v>250</v>
      </c>
      <c r="E1537">
        <v>20</v>
      </c>
      <c r="F1537" s="37"/>
    </row>
    <row r="1538" spans="2:6" x14ac:dyDescent="0.25">
      <c r="B1538" s="38">
        <v>45988</v>
      </c>
      <c r="C1538" s="36" t="s">
        <v>550</v>
      </c>
      <c r="E1538">
        <v>10</v>
      </c>
      <c r="F1538" s="37"/>
    </row>
    <row r="1539" spans="2:6" x14ac:dyDescent="0.25">
      <c r="B1539" s="38">
        <v>45988</v>
      </c>
      <c r="C1539" s="36" t="s">
        <v>535</v>
      </c>
      <c r="E1539">
        <v>10</v>
      </c>
      <c r="F1539" s="37"/>
    </row>
    <row r="1540" spans="2:6" x14ac:dyDescent="0.25">
      <c r="B1540" s="38">
        <v>45989</v>
      </c>
      <c r="C1540" s="36" t="s">
        <v>596</v>
      </c>
      <c r="D1540">
        <v>20</v>
      </c>
      <c r="F1540" s="37" t="s">
        <v>509</v>
      </c>
    </row>
    <row r="1541" spans="2:6" x14ac:dyDescent="0.25">
      <c r="B1541" s="38">
        <v>45989</v>
      </c>
      <c r="C1541" s="36" t="s">
        <v>596</v>
      </c>
      <c r="E1541">
        <v>5</v>
      </c>
      <c r="F1541" s="37"/>
    </row>
    <row r="1542" spans="2:6" x14ac:dyDescent="0.25">
      <c r="B1542" s="38">
        <v>45990</v>
      </c>
      <c r="C1542" s="36" t="s">
        <v>445</v>
      </c>
      <c r="E1542">
        <v>5</v>
      </c>
      <c r="F1542" s="37"/>
    </row>
    <row r="1543" spans="2:6" x14ac:dyDescent="0.25">
      <c r="B1543" s="38">
        <v>45990</v>
      </c>
      <c r="C1543" s="36" t="s">
        <v>443</v>
      </c>
      <c r="E1543">
        <v>5</v>
      </c>
      <c r="F1543" s="37"/>
    </row>
    <row r="1544" spans="2:6" x14ac:dyDescent="0.25">
      <c r="B1544" s="38">
        <v>45990</v>
      </c>
      <c r="C1544" s="36" t="s">
        <v>502</v>
      </c>
      <c r="E1544">
        <v>5</v>
      </c>
      <c r="F1544" s="37"/>
    </row>
    <row r="1545" spans="2:6" x14ac:dyDescent="0.25">
      <c r="B1545" s="38">
        <v>45990</v>
      </c>
      <c r="C1545" s="36" t="s">
        <v>525</v>
      </c>
      <c r="E1545">
        <v>10</v>
      </c>
      <c r="F1545" s="37"/>
    </row>
    <row r="1546" spans="2:6" x14ac:dyDescent="0.25">
      <c r="B1546" s="38">
        <v>45990</v>
      </c>
      <c r="C1546" s="36" t="s">
        <v>465</v>
      </c>
      <c r="E1546">
        <v>10</v>
      </c>
      <c r="F1546" s="37"/>
    </row>
    <row r="1547" spans="2:6" x14ac:dyDescent="0.25">
      <c r="B1547" s="38">
        <v>45990</v>
      </c>
      <c r="C1547" s="36" t="s">
        <v>492</v>
      </c>
      <c r="E1547">
        <v>6</v>
      </c>
      <c r="F1547" s="37"/>
    </row>
    <row r="1548" spans="2:6" x14ac:dyDescent="0.25">
      <c r="B1548" s="38">
        <v>45990</v>
      </c>
      <c r="C1548" s="36" t="s">
        <v>491</v>
      </c>
      <c r="E1548">
        <v>10</v>
      </c>
      <c r="F1548" s="37"/>
    </row>
    <row r="1549" spans="2:6" x14ac:dyDescent="0.25">
      <c r="B1549" s="38">
        <v>45990</v>
      </c>
      <c r="C1549" s="36" t="s">
        <v>580</v>
      </c>
      <c r="E1549">
        <v>10</v>
      </c>
      <c r="F1549" s="37"/>
    </row>
    <row r="1550" spans="2:6" x14ac:dyDescent="0.25">
      <c r="B1550" s="38">
        <v>45992</v>
      </c>
      <c r="C1550" s="36" t="s">
        <v>212</v>
      </c>
      <c r="E1550">
        <v>20</v>
      </c>
      <c r="F1550" s="37"/>
    </row>
    <row r="1551" spans="2:6" x14ac:dyDescent="0.25">
      <c r="B1551" s="38">
        <v>45992</v>
      </c>
      <c r="C1551" s="36" t="s">
        <v>112</v>
      </c>
      <c r="E1551">
        <v>6</v>
      </c>
      <c r="F1551" s="37"/>
    </row>
    <row r="1552" spans="2:6" x14ac:dyDescent="0.25">
      <c r="B1552" s="38">
        <v>45992</v>
      </c>
      <c r="C1552" s="36" t="s">
        <v>525</v>
      </c>
      <c r="E1552">
        <v>10</v>
      </c>
      <c r="F1552" s="37"/>
    </row>
    <row r="1553" spans="2:6" x14ac:dyDescent="0.25">
      <c r="B1553" s="38">
        <v>45993</v>
      </c>
      <c r="C1553" s="36" t="s">
        <v>571</v>
      </c>
      <c r="E1553">
        <v>10</v>
      </c>
      <c r="F1553" s="37"/>
    </row>
    <row r="1554" spans="2:6" x14ac:dyDescent="0.25">
      <c r="B1554" s="38">
        <v>45993</v>
      </c>
      <c r="C1554" s="36" t="s">
        <v>573</v>
      </c>
      <c r="E1554">
        <v>8</v>
      </c>
      <c r="F1554" s="37"/>
    </row>
    <row r="1555" spans="2:6" x14ac:dyDescent="0.25">
      <c r="B1555" s="38">
        <v>45993</v>
      </c>
      <c r="C1555" s="36" t="s">
        <v>499</v>
      </c>
      <c r="E1555">
        <v>5</v>
      </c>
      <c r="F1555" s="37"/>
    </row>
    <row r="1556" spans="2:6" x14ac:dyDescent="0.25">
      <c r="B1556" s="38">
        <v>45993</v>
      </c>
      <c r="C1556" s="36" t="s">
        <v>419</v>
      </c>
      <c r="E1556">
        <v>10</v>
      </c>
      <c r="F1556" s="37"/>
    </row>
    <row r="1557" spans="2:6" x14ac:dyDescent="0.25">
      <c r="B1557" s="38">
        <v>45993</v>
      </c>
      <c r="C1557" s="36" t="s">
        <v>145</v>
      </c>
      <c r="E1557">
        <v>10</v>
      </c>
      <c r="F1557" s="37"/>
    </row>
    <row r="1558" spans="2:6" x14ac:dyDescent="0.25">
      <c r="B1558" s="38">
        <v>45993</v>
      </c>
      <c r="C1558" s="36" t="s">
        <v>421</v>
      </c>
      <c r="E1558">
        <v>10</v>
      </c>
      <c r="F1558" s="37"/>
    </row>
    <row r="1559" spans="2:6" x14ac:dyDescent="0.25">
      <c r="B1559" s="38">
        <v>45993</v>
      </c>
      <c r="C1559" s="36" t="s">
        <v>397</v>
      </c>
      <c r="E1559">
        <v>10</v>
      </c>
      <c r="F1559" s="37"/>
    </row>
    <row r="1560" spans="2:6" x14ac:dyDescent="0.25">
      <c r="B1560" s="38">
        <v>45993</v>
      </c>
      <c r="C1560" s="36" t="s">
        <v>143</v>
      </c>
      <c r="E1560">
        <v>5</v>
      </c>
      <c r="F1560" s="37"/>
    </row>
    <row r="1561" spans="2:6" x14ac:dyDescent="0.25">
      <c r="B1561" s="38">
        <v>45993</v>
      </c>
      <c r="C1561" s="36" t="s">
        <v>548</v>
      </c>
      <c r="E1561">
        <v>5</v>
      </c>
      <c r="F1561" s="37"/>
    </row>
    <row r="1562" spans="2:6" x14ac:dyDescent="0.25">
      <c r="B1562" s="38">
        <v>45993</v>
      </c>
      <c r="C1562" s="36" t="s">
        <v>140</v>
      </c>
      <c r="E1562">
        <v>5</v>
      </c>
      <c r="F1562" s="37"/>
    </row>
    <row r="1563" spans="2:6" x14ac:dyDescent="0.25">
      <c r="B1563" s="38">
        <v>45993</v>
      </c>
      <c r="C1563" s="36" t="s">
        <v>445</v>
      </c>
      <c r="E1563">
        <v>5</v>
      </c>
      <c r="F1563" s="37"/>
    </row>
    <row r="1564" spans="2:6" x14ac:dyDescent="0.25">
      <c r="B1564" s="38">
        <v>45993</v>
      </c>
      <c r="C1564" s="36" t="s">
        <v>443</v>
      </c>
      <c r="E1564">
        <v>5</v>
      </c>
      <c r="F1564" s="37"/>
    </row>
    <row r="1565" spans="2:6" x14ac:dyDescent="0.25">
      <c r="B1565" s="38">
        <v>45993</v>
      </c>
      <c r="C1565" s="36" t="s">
        <v>523</v>
      </c>
      <c r="E1565">
        <v>10</v>
      </c>
      <c r="F1565" s="37"/>
    </row>
    <row r="1566" spans="2:6" x14ac:dyDescent="0.25">
      <c r="B1566" s="38">
        <v>45993</v>
      </c>
      <c r="C1566" s="36" t="s">
        <v>497</v>
      </c>
      <c r="E1566">
        <v>10</v>
      </c>
      <c r="F1566" s="37"/>
    </row>
    <row r="1567" spans="2:6" x14ac:dyDescent="0.25">
      <c r="B1567" s="38">
        <v>45993</v>
      </c>
      <c r="C1567" s="36" t="s">
        <v>492</v>
      </c>
      <c r="E1567">
        <v>10</v>
      </c>
      <c r="F1567" s="37"/>
    </row>
    <row r="1568" spans="2:6" x14ac:dyDescent="0.25">
      <c r="B1568" s="38">
        <v>45993</v>
      </c>
      <c r="C1568" s="36" t="s">
        <v>493</v>
      </c>
      <c r="E1568">
        <v>10</v>
      </c>
      <c r="F1568" s="37"/>
    </row>
    <row r="1569" spans="2:6" x14ac:dyDescent="0.25">
      <c r="B1569" s="38">
        <v>45993</v>
      </c>
      <c r="C1569" s="36" t="s">
        <v>545</v>
      </c>
      <c r="E1569">
        <v>5</v>
      </c>
      <c r="F1569" s="37"/>
    </row>
    <row r="1570" spans="2:6" x14ac:dyDescent="0.25">
      <c r="B1570" s="38">
        <v>45993</v>
      </c>
      <c r="C1570" s="36" t="s">
        <v>346</v>
      </c>
      <c r="E1570">
        <v>10</v>
      </c>
      <c r="F1570" s="37"/>
    </row>
    <row r="1571" spans="2:6" x14ac:dyDescent="0.25">
      <c r="B1571" s="38">
        <v>45993</v>
      </c>
      <c r="C1571" s="36" t="s">
        <v>124</v>
      </c>
      <c r="E1571">
        <v>10</v>
      </c>
      <c r="F1571" s="37"/>
    </row>
    <row r="1572" spans="2:6" x14ac:dyDescent="0.25">
      <c r="B1572" s="38">
        <v>45993</v>
      </c>
      <c r="C1572" s="36" t="s">
        <v>250</v>
      </c>
      <c r="E1572">
        <v>20</v>
      </c>
      <c r="F1572" s="37"/>
    </row>
    <row r="1573" spans="2:6" x14ac:dyDescent="0.25">
      <c r="B1573" s="38">
        <v>45993</v>
      </c>
      <c r="C1573" s="36" t="s">
        <v>232</v>
      </c>
      <c r="E1573">
        <v>1</v>
      </c>
      <c r="F1573" s="37"/>
    </row>
    <row r="1574" spans="2:6" x14ac:dyDescent="0.25">
      <c r="B1574" s="38">
        <v>45993</v>
      </c>
      <c r="C1574" s="36" t="s">
        <v>432</v>
      </c>
      <c r="E1574">
        <v>2</v>
      </c>
      <c r="F1574" s="37"/>
    </row>
    <row r="1575" spans="2:6" x14ac:dyDescent="0.25">
      <c r="B1575" s="38">
        <v>45993</v>
      </c>
      <c r="C1575" s="36" t="s">
        <v>489</v>
      </c>
      <c r="E1575">
        <v>4</v>
      </c>
      <c r="F1575" s="37"/>
    </row>
    <row r="1576" spans="2:6" x14ac:dyDescent="0.25">
      <c r="B1576" s="38">
        <v>45993</v>
      </c>
      <c r="C1576" s="36" t="s">
        <v>434</v>
      </c>
      <c r="E1576">
        <v>3</v>
      </c>
      <c r="F1576" s="37"/>
    </row>
    <row r="1577" spans="2:6" x14ac:dyDescent="0.25">
      <c r="B1577" s="38">
        <v>45994</v>
      </c>
      <c r="C1577" s="36" t="s">
        <v>317</v>
      </c>
      <c r="E1577">
        <v>3</v>
      </c>
      <c r="F1577" s="37"/>
    </row>
    <row r="1578" spans="2:6" x14ac:dyDescent="0.25">
      <c r="B1578" s="38">
        <v>45994</v>
      </c>
      <c r="C1578" s="36" t="s">
        <v>159</v>
      </c>
      <c r="E1578">
        <v>3</v>
      </c>
      <c r="F1578" s="37"/>
    </row>
    <row r="1579" spans="2:6" x14ac:dyDescent="0.25">
      <c r="B1579" s="38">
        <v>45994</v>
      </c>
      <c r="C1579" s="36" t="s">
        <v>488</v>
      </c>
      <c r="E1579">
        <v>5</v>
      </c>
      <c r="F1579" s="37"/>
    </row>
    <row r="1580" spans="2:6" x14ac:dyDescent="0.25">
      <c r="B1580" s="38">
        <v>45994</v>
      </c>
      <c r="C1580" s="36" t="s">
        <v>525</v>
      </c>
      <c r="E1580">
        <v>10</v>
      </c>
      <c r="F1580" s="37"/>
    </row>
    <row r="1581" spans="2:6" x14ac:dyDescent="0.25">
      <c r="B1581" s="38">
        <v>45995</v>
      </c>
      <c r="C1581" s="36" t="s">
        <v>240</v>
      </c>
      <c r="E1581">
        <v>5</v>
      </c>
      <c r="F1581" s="37"/>
    </row>
    <row r="1582" spans="2:6" x14ac:dyDescent="0.25">
      <c r="B1582" s="38">
        <v>45995</v>
      </c>
      <c r="C1582" s="36" t="s">
        <v>206</v>
      </c>
      <c r="E1582">
        <v>5</v>
      </c>
      <c r="F1582" s="37"/>
    </row>
    <row r="1583" spans="2:6" x14ac:dyDescent="0.25">
      <c r="B1583" s="38">
        <v>45995</v>
      </c>
      <c r="C1583" s="36" t="s">
        <v>579</v>
      </c>
      <c r="E1583">
        <v>5</v>
      </c>
      <c r="F1583" s="37"/>
    </row>
    <row r="1584" spans="2:6" x14ac:dyDescent="0.25">
      <c r="B1584" s="38">
        <v>45995</v>
      </c>
      <c r="C1584" s="36" t="s">
        <v>566</v>
      </c>
      <c r="E1584">
        <v>10</v>
      </c>
      <c r="F1584" s="37"/>
    </row>
    <row r="1585" spans="2:6" x14ac:dyDescent="0.25">
      <c r="B1585" s="38">
        <v>45995</v>
      </c>
      <c r="C1585" s="36" t="s">
        <v>573</v>
      </c>
      <c r="E1585">
        <v>5</v>
      </c>
      <c r="F1585" s="37"/>
    </row>
    <row r="1586" spans="2:6" x14ac:dyDescent="0.25">
      <c r="B1586" s="38">
        <v>45995</v>
      </c>
      <c r="C1586" s="36" t="s">
        <v>499</v>
      </c>
      <c r="E1586">
        <v>5</v>
      </c>
      <c r="F1586" s="37"/>
    </row>
    <row r="1587" spans="2:6" x14ac:dyDescent="0.25">
      <c r="B1587" s="38">
        <v>45995</v>
      </c>
      <c r="C1587" s="36" t="s">
        <v>562</v>
      </c>
      <c r="E1587">
        <v>3</v>
      </c>
      <c r="F1587" s="37"/>
    </row>
    <row r="1588" spans="2:6" x14ac:dyDescent="0.25">
      <c r="B1588" s="38">
        <v>45995</v>
      </c>
      <c r="C1588" s="36" t="s">
        <v>143</v>
      </c>
      <c r="E1588">
        <v>6</v>
      </c>
      <c r="F1588" s="37"/>
    </row>
    <row r="1589" spans="2:6" x14ac:dyDescent="0.25">
      <c r="B1589" s="38">
        <v>45995</v>
      </c>
      <c r="C1589" s="36" t="s">
        <v>548</v>
      </c>
      <c r="E1589">
        <v>5</v>
      </c>
      <c r="F1589" s="37"/>
    </row>
    <row r="1590" spans="2:6" x14ac:dyDescent="0.25">
      <c r="B1590" s="38">
        <v>45995</v>
      </c>
      <c r="C1590" s="36" t="s">
        <v>596</v>
      </c>
      <c r="E1590">
        <v>10</v>
      </c>
      <c r="F1590" s="37"/>
    </row>
    <row r="1591" spans="2:6" x14ac:dyDescent="0.25">
      <c r="B1591" s="38">
        <v>45995</v>
      </c>
      <c r="C1591" s="36" t="s">
        <v>173</v>
      </c>
      <c r="E1591">
        <v>3</v>
      </c>
      <c r="F1591" s="37"/>
    </row>
    <row r="1592" spans="2:6" x14ac:dyDescent="0.25">
      <c r="B1592" s="38">
        <v>45995</v>
      </c>
      <c r="C1592" s="36" t="s">
        <v>598</v>
      </c>
      <c r="E1592">
        <v>3</v>
      </c>
      <c r="F1592" s="37"/>
    </row>
    <row r="1593" spans="2:6" x14ac:dyDescent="0.25">
      <c r="B1593" s="38">
        <v>45995</v>
      </c>
      <c r="C1593" s="36" t="s">
        <v>535</v>
      </c>
      <c r="E1593">
        <v>10</v>
      </c>
      <c r="F1593" s="37"/>
    </row>
    <row r="1594" spans="2:6" x14ac:dyDescent="0.25">
      <c r="B1594" s="38">
        <v>45995</v>
      </c>
      <c r="C1594" s="36" t="s">
        <v>443</v>
      </c>
      <c r="E1594">
        <v>3</v>
      </c>
      <c r="F1594" s="37"/>
    </row>
    <row r="1595" spans="2:6" x14ac:dyDescent="0.25">
      <c r="B1595" s="38">
        <v>45995</v>
      </c>
      <c r="C1595" s="36" t="s">
        <v>445</v>
      </c>
      <c r="E1595">
        <v>3</v>
      </c>
      <c r="F1595" s="37"/>
    </row>
    <row r="1596" spans="2:6" x14ac:dyDescent="0.25">
      <c r="B1596" s="38">
        <v>45996</v>
      </c>
      <c r="C1596" s="36" t="s">
        <v>577</v>
      </c>
      <c r="E1596">
        <v>1</v>
      </c>
      <c r="F1596" s="37"/>
    </row>
    <row r="1597" spans="2:6" x14ac:dyDescent="0.25">
      <c r="B1597" s="38">
        <v>45996</v>
      </c>
      <c r="C1597" s="36" t="s">
        <v>124</v>
      </c>
      <c r="E1597">
        <v>10</v>
      </c>
      <c r="F1597" s="37"/>
    </row>
    <row r="1598" spans="2:6" x14ac:dyDescent="0.25">
      <c r="B1598" s="38">
        <v>45996</v>
      </c>
      <c r="C1598" s="36" t="s">
        <v>432</v>
      </c>
      <c r="E1598">
        <v>3</v>
      </c>
      <c r="F1598" s="37"/>
    </row>
    <row r="1599" spans="2:6" x14ac:dyDescent="0.25">
      <c r="B1599" s="38">
        <v>45996</v>
      </c>
      <c r="C1599" s="36" t="s">
        <v>171</v>
      </c>
      <c r="E1599">
        <v>5</v>
      </c>
      <c r="F1599" s="37"/>
    </row>
    <row r="1600" spans="2:6" x14ac:dyDescent="0.25">
      <c r="B1600" s="38">
        <v>45996</v>
      </c>
      <c r="C1600" s="36" t="s">
        <v>527</v>
      </c>
      <c r="E1600">
        <v>5</v>
      </c>
      <c r="F1600" s="37"/>
    </row>
    <row r="1601" spans="2:6" x14ac:dyDescent="0.25">
      <c r="B1601" s="38">
        <v>45996</v>
      </c>
      <c r="C1601" s="36" t="s">
        <v>488</v>
      </c>
      <c r="E1601">
        <v>5</v>
      </c>
      <c r="F1601" s="37"/>
    </row>
    <row r="1602" spans="2:6" x14ac:dyDescent="0.25">
      <c r="B1602" s="38">
        <v>45996</v>
      </c>
      <c r="C1602" s="36" t="s">
        <v>586</v>
      </c>
      <c r="E1602">
        <v>10</v>
      </c>
      <c r="F1602" s="37"/>
    </row>
    <row r="1603" spans="2:6" x14ac:dyDescent="0.25">
      <c r="B1603" s="38">
        <v>45997</v>
      </c>
      <c r="C1603" s="36" t="s">
        <v>515</v>
      </c>
      <c r="E1603">
        <v>19</v>
      </c>
      <c r="F1603" s="37" t="s">
        <v>495</v>
      </c>
    </row>
    <row r="1604" spans="2:6" x14ac:dyDescent="0.25">
      <c r="B1604" s="38">
        <v>45999</v>
      </c>
      <c r="C1604" s="36" t="s">
        <v>419</v>
      </c>
      <c r="E1604">
        <v>10</v>
      </c>
      <c r="F1604" s="37"/>
    </row>
    <row r="1605" spans="2:6" x14ac:dyDescent="0.25">
      <c r="B1605" s="38">
        <v>45999</v>
      </c>
      <c r="C1605" s="36" t="s">
        <v>452</v>
      </c>
      <c r="E1605">
        <v>10</v>
      </c>
      <c r="F1605" s="37"/>
    </row>
    <row r="1606" spans="2:6" x14ac:dyDescent="0.25">
      <c r="B1606" s="38">
        <v>45999</v>
      </c>
      <c r="C1606" s="36" t="s">
        <v>469</v>
      </c>
      <c r="E1606">
        <v>5</v>
      </c>
      <c r="F1606" s="37"/>
    </row>
    <row r="1607" spans="2:6" x14ac:dyDescent="0.25">
      <c r="B1607" s="38">
        <v>45999</v>
      </c>
      <c r="C1607" s="36" t="s">
        <v>443</v>
      </c>
      <c r="E1607">
        <v>2</v>
      </c>
      <c r="F1607" s="37"/>
    </row>
    <row r="1608" spans="2:6" x14ac:dyDescent="0.25">
      <c r="B1608" s="38">
        <v>45999</v>
      </c>
      <c r="C1608" s="36" t="s">
        <v>159</v>
      </c>
      <c r="E1608">
        <v>5</v>
      </c>
      <c r="F1608" s="37"/>
    </row>
    <row r="1609" spans="2:6" x14ac:dyDescent="0.25">
      <c r="B1609" s="38">
        <v>45999</v>
      </c>
      <c r="C1609" s="36" t="s">
        <v>493</v>
      </c>
      <c r="E1609">
        <v>4</v>
      </c>
      <c r="F1609" s="37"/>
    </row>
    <row r="1610" spans="2:6" x14ac:dyDescent="0.25">
      <c r="B1610" s="38">
        <v>45999</v>
      </c>
      <c r="C1610" s="36" t="s">
        <v>492</v>
      </c>
      <c r="E1610">
        <v>5</v>
      </c>
      <c r="F1610" s="37"/>
    </row>
    <row r="1611" spans="2:6" x14ac:dyDescent="0.25">
      <c r="B1611" s="38">
        <v>46000</v>
      </c>
      <c r="C1611" s="36" t="s">
        <v>497</v>
      </c>
      <c r="D1611">
        <v>200</v>
      </c>
      <c r="F1611" s="37" t="s">
        <v>500</v>
      </c>
    </row>
    <row r="1612" spans="2:6" x14ac:dyDescent="0.25">
      <c r="B1612" s="38">
        <v>46000</v>
      </c>
      <c r="C1612" s="36" t="s">
        <v>499</v>
      </c>
      <c r="D1612">
        <v>100</v>
      </c>
      <c r="F1612" s="37" t="s">
        <v>500</v>
      </c>
    </row>
    <row r="1613" spans="2:6" x14ac:dyDescent="0.25">
      <c r="B1613" s="38">
        <v>46000</v>
      </c>
      <c r="C1613" s="36" t="s">
        <v>432</v>
      </c>
      <c r="E1613">
        <v>6</v>
      </c>
      <c r="F1613" s="37"/>
    </row>
    <row r="1614" spans="2:6" x14ac:dyDescent="0.25">
      <c r="B1614" s="38">
        <v>46000</v>
      </c>
      <c r="C1614" s="36" t="s">
        <v>499</v>
      </c>
      <c r="E1614">
        <v>5</v>
      </c>
      <c r="F1614" s="37"/>
    </row>
    <row r="1615" spans="2:6" x14ac:dyDescent="0.25">
      <c r="B1615" s="38">
        <v>46000</v>
      </c>
      <c r="C1615" s="36" t="s">
        <v>399</v>
      </c>
      <c r="E1615">
        <v>10</v>
      </c>
      <c r="F1615" s="37"/>
    </row>
    <row r="1616" spans="2:6" x14ac:dyDescent="0.25">
      <c r="B1616" s="38">
        <v>46000</v>
      </c>
      <c r="C1616" s="36" t="s">
        <v>397</v>
      </c>
      <c r="E1616">
        <v>10</v>
      </c>
      <c r="F1616" s="37"/>
    </row>
    <row r="1617" spans="2:6" x14ac:dyDescent="0.25">
      <c r="B1617" s="38">
        <v>46000</v>
      </c>
      <c r="C1617" s="36" t="s">
        <v>419</v>
      </c>
      <c r="E1617">
        <v>10</v>
      </c>
      <c r="F1617" s="37"/>
    </row>
    <row r="1618" spans="2:6" x14ac:dyDescent="0.25">
      <c r="B1618" s="38">
        <v>46000</v>
      </c>
      <c r="C1618" s="36" t="s">
        <v>530</v>
      </c>
      <c r="E1618">
        <v>1</v>
      </c>
      <c r="F1618" s="37"/>
    </row>
    <row r="1619" spans="2:6" x14ac:dyDescent="0.25">
      <c r="B1619" s="38">
        <v>46000</v>
      </c>
      <c r="C1619" s="36" t="s">
        <v>566</v>
      </c>
      <c r="E1619">
        <v>10</v>
      </c>
      <c r="F1619" s="37"/>
    </row>
    <row r="1620" spans="2:6" x14ac:dyDescent="0.25">
      <c r="B1620" s="38">
        <v>46000</v>
      </c>
      <c r="C1620" s="36" t="s">
        <v>550</v>
      </c>
      <c r="E1620">
        <v>6</v>
      </c>
      <c r="F1620" s="37"/>
    </row>
    <row r="1621" spans="2:6" x14ac:dyDescent="0.25">
      <c r="B1621" s="38">
        <v>46000</v>
      </c>
      <c r="C1621" s="36" t="s">
        <v>471</v>
      </c>
      <c r="E1621">
        <v>5</v>
      </c>
      <c r="F1621" s="37"/>
    </row>
    <row r="1622" spans="2:6" x14ac:dyDescent="0.25">
      <c r="B1622" s="38">
        <v>46000</v>
      </c>
      <c r="C1622" s="36" t="s">
        <v>552</v>
      </c>
      <c r="E1622">
        <v>10</v>
      </c>
      <c r="F1622" s="37"/>
    </row>
    <row r="1623" spans="2:6" x14ac:dyDescent="0.25">
      <c r="B1623" s="38">
        <v>46000</v>
      </c>
      <c r="C1623" s="36" t="s">
        <v>434</v>
      </c>
      <c r="E1623">
        <v>2</v>
      </c>
      <c r="F1623" s="37"/>
    </row>
    <row r="1624" spans="2:6" x14ac:dyDescent="0.25">
      <c r="B1624" s="38">
        <v>46000</v>
      </c>
      <c r="C1624" s="36" t="s">
        <v>559</v>
      </c>
      <c r="E1624">
        <v>5</v>
      </c>
      <c r="F1624" s="37"/>
    </row>
    <row r="1625" spans="2:6" x14ac:dyDescent="0.25">
      <c r="B1625" s="38">
        <v>46000</v>
      </c>
      <c r="C1625" s="36" t="s">
        <v>468</v>
      </c>
      <c r="E1625">
        <v>10</v>
      </c>
      <c r="F1625" s="37"/>
    </row>
    <row r="1626" spans="2:6" x14ac:dyDescent="0.25">
      <c r="B1626" s="38">
        <v>46000</v>
      </c>
      <c r="C1626" s="36" t="s">
        <v>465</v>
      </c>
      <c r="E1626">
        <v>10</v>
      </c>
      <c r="F1626" s="37"/>
    </row>
    <row r="1627" spans="2:6" x14ac:dyDescent="0.25">
      <c r="B1627" s="38">
        <v>46000</v>
      </c>
      <c r="C1627" s="36" t="s">
        <v>567</v>
      </c>
      <c r="E1627">
        <v>10</v>
      </c>
      <c r="F1627" s="37"/>
    </row>
    <row r="1628" spans="2:6" x14ac:dyDescent="0.25">
      <c r="B1628" s="38">
        <v>46000</v>
      </c>
      <c r="C1628" s="36" t="s">
        <v>525</v>
      </c>
      <c r="E1628">
        <v>10</v>
      </c>
      <c r="F1628" s="37"/>
    </row>
    <row r="1629" spans="2:6" x14ac:dyDescent="0.25">
      <c r="B1629" s="38">
        <v>46000</v>
      </c>
      <c r="C1629" s="36" t="s">
        <v>445</v>
      </c>
      <c r="E1629">
        <v>2</v>
      </c>
      <c r="F1629" s="37"/>
    </row>
    <row r="1630" spans="2:6" x14ac:dyDescent="0.25">
      <c r="B1630" s="38">
        <v>46000</v>
      </c>
      <c r="C1630" s="36" t="s">
        <v>502</v>
      </c>
      <c r="E1630">
        <v>5</v>
      </c>
      <c r="F1630" s="37"/>
    </row>
    <row r="1631" spans="2:6" x14ac:dyDescent="0.25">
      <c r="B1631" s="38">
        <v>46000</v>
      </c>
      <c r="C1631" s="36" t="s">
        <v>527</v>
      </c>
      <c r="E1631">
        <v>10</v>
      </c>
      <c r="F1631" s="37"/>
    </row>
    <row r="1632" spans="2:6" x14ac:dyDescent="0.25">
      <c r="B1632" s="38">
        <v>46000</v>
      </c>
      <c r="C1632" s="36" t="s">
        <v>514</v>
      </c>
      <c r="E1632">
        <v>10</v>
      </c>
      <c r="F1632" s="37"/>
    </row>
    <row r="1633" spans="2:6" x14ac:dyDescent="0.25">
      <c r="B1633" s="38">
        <v>46000</v>
      </c>
      <c r="C1633" s="36" t="s">
        <v>497</v>
      </c>
      <c r="E1633">
        <v>10</v>
      </c>
      <c r="F1633" s="37"/>
    </row>
    <row r="1634" spans="2:6" x14ac:dyDescent="0.25">
      <c r="B1634" s="38">
        <v>46000</v>
      </c>
      <c r="C1634" s="36" t="s">
        <v>599</v>
      </c>
      <c r="D1634">
        <v>200</v>
      </c>
      <c r="F1634" s="37" t="s">
        <v>481</v>
      </c>
    </row>
    <row r="1635" spans="2:6" x14ac:dyDescent="0.25">
      <c r="B1635" s="38">
        <v>46000</v>
      </c>
      <c r="C1635" s="36" t="s">
        <v>445</v>
      </c>
      <c r="D1635">
        <v>100</v>
      </c>
      <c r="F1635" s="37" t="s">
        <v>481</v>
      </c>
    </row>
    <row r="1636" spans="2:6" x14ac:dyDescent="0.25">
      <c r="B1636" s="38">
        <v>46000</v>
      </c>
      <c r="C1636" s="36" t="s">
        <v>443</v>
      </c>
      <c r="D1636">
        <v>100</v>
      </c>
      <c r="F1636" s="37" t="s">
        <v>481</v>
      </c>
    </row>
    <row r="1637" spans="2:6" x14ac:dyDescent="0.25">
      <c r="B1637" s="38">
        <v>46000</v>
      </c>
      <c r="C1637" s="36" t="s">
        <v>502</v>
      </c>
      <c r="D1637">
        <v>100</v>
      </c>
      <c r="F1637" s="37" t="s">
        <v>481</v>
      </c>
    </row>
    <row r="1638" spans="2:6" x14ac:dyDescent="0.25">
      <c r="B1638" s="38">
        <v>46001</v>
      </c>
      <c r="C1638" s="36" t="s">
        <v>599</v>
      </c>
      <c r="E1638">
        <v>20</v>
      </c>
      <c r="F1638" s="37"/>
    </row>
    <row r="1639" spans="2:6" x14ac:dyDescent="0.25">
      <c r="B1639" s="38">
        <v>46001</v>
      </c>
      <c r="C1639" s="36" t="s">
        <v>574</v>
      </c>
      <c r="D1639">
        <v>50</v>
      </c>
      <c r="F1639" s="37" t="s">
        <v>576</v>
      </c>
    </row>
    <row r="1640" spans="2:6" x14ac:dyDescent="0.25">
      <c r="B1640" s="38">
        <v>46001</v>
      </c>
      <c r="C1640" s="36" t="s">
        <v>575</v>
      </c>
      <c r="D1640">
        <v>50</v>
      </c>
      <c r="F1640" s="37" t="s">
        <v>576</v>
      </c>
    </row>
    <row r="1641" spans="2:6" x14ac:dyDescent="0.25">
      <c r="B1641" s="38">
        <v>46001</v>
      </c>
      <c r="C1641" s="36" t="s">
        <v>562</v>
      </c>
      <c r="D1641">
        <v>100</v>
      </c>
      <c r="F1641" s="37" t="s">
        <v>563</v>
      </c>
    </row>
    <row r="1642" spans="2:6" x14ac:dyDescent="0.25">
      <c r="B1642" s="38">
        <v>46001</v>
      </c>
      <c r="C1642" s="36" t="s">
        <v>559</v>
      </c>
      <c r="D1642">
        <v>70</v>
      </c>
      <c r="F1642" s="37" t="s">
        <v>563</v>
      </c>
    </row>
    <row r="1643" spans="2:6" x14ac:dyDescent="0.25">
      <c r="B1643" s="38">
        <v>46001</v>
      </c>
      <c r="C1643" s="36" t="s">
        <v>602</v>
      </c>
      <c r="D1643">
        <v>75</v>
      </c>
      <c r="F1643" s="37" t="s">
        <v>563</v>
      </c>
    </row>
    <row r="1644" spans="2:6" x14ac:dyDescent="0.25">
      <c r="B1644" s="38">
        <v>46001</v>
      </c>
      <c r="C1644" s="36" t="s">
        <v>603</v>
      </c>
      <c r="D1644">
        <v>225</v>
      </c>
      <c r="F1644" s="37" t="s">
        <v>563</v>
      </c>
    </row>
    <row r="1645" spans="2:6" x14ac:dyDescent="0.25">
      <c r="B1645" s="38">
        <v>46001</v>
      </c>
      <c r="C1645" s="36" t="s">
        <v>600</v>
      </c>
      <c r="D1645">
        <v>50</v>
      </c>
      <c r="F1645" s="37" t="s">
        <v>576</v>
      </c>
    </row>
    <row r="1646" spans="2:6" x14ac:dyDescent="0.25">
      <c r="B1646" s="38">
        <v>46001</v>
      </c>
      <c r="C1646" s="36" t="s">
        <v>145</v>
      </c>
      <c r="D1646">
        <v>240</v>
      </c>
      <c r="F1646" s="37" t="s">
        <v>555</v>
      </c>
    </row>
    <row r="1647" spans="2:6" x14ac:dyDescent="0.25">
      <c r="B1647" s="38">
        <v>46001</v>
      </c>
      <c r="C1647" s="36" t="s">
        <v>523</v>
      </c>
      <c r="D1647">
        <v>40</v>
      </c>
      <c r="F1647" s="37" t="s">
        <v>555</v>
      </c>
    </row>
    <row r="1648" spans="2:6" x14ac:dyDescent="0.25">
      <c r="B1648" s="38">
        <v>46002</v>
      </c>
      <c r="C1648" s="36" t="s">
        <v>603</v>
      </c>
      <c r="E1648">
        <v>10</v>
      </c>
      <c r="F1648" s="37"/>
    </row>
    <row r="1649" spans="2:6" x14ac:dyDescent="0.25">
      <c r="B1649" s="38">
        <v>46002</v>
      </c>
      <c r="C1649" s="36" t="s">
        <v>419</v>
      </c>
      <c r="E1649">
        <v>10</v>
      </c>
      <c r="F1649" s="37"/>
    </row>
    <row r="1650" spans="2:6" x14ac:dyDescent="0.25">
      <c r="B1650" s="38">
        <v>46002</v>
      </c>
      <c r="C1650" s="36" t="s">
        <v>492</v>
      </c>
      <c r="E1650">
        <v>3</v>
      </c>
      <c r="F1650" s="37"/>
    </row>
    <row r="1651" spans="2:6" x14ac:dyDescent="0.25">
      <c r="B1651" s="38">
        <v>46002</v>
      </c>
      <c r="C1651" s="36" t="s">
        <v>223</v>
      </c>
      <c r="E1651">
        <v>5</v>
      </c>
      <c r="F1651" s="37"/>
    </row>
    <row r="1652" spans="2:6" x14ac:dyDescent="0.25">
      <c r="B1652" s="38">
        <v>46002</v>
      </c>
      <c r="C1652" s="36" t="s">
        <v>160</v>
      </c>
      <c r="E1652">
        <v>4</v>
      </c>
      <c r="F1652" s="37"/>
    </row>
    <row r="1653" spans="2:6" x14ac:dyDescent="0.25">
      <c r="B1653" s="38">
        <v>46002</v>
      </c>
      <c r="C1653" s="36" t="s">
        <v>171</v>
      </c>
      <c r="E1653">
        <v>5</v>
      </c>
      <c r="F1653" s="37"/>
    </row>
    <row r="1654" spans="2:6" x14ac:dyDescent="0.25">
      <c r="B1654" s="38">
        <v>46002</v>
      </c>
      <c r="C1654" s="36" t="s">
        <v>544</v>
      </c>
      <c r="E1654">
        <v>10</v>
      </c>
      <c r="F1654" s="37"/>
    </row>
    <row r="1655" spans="2:6" x14ac:dyDescent="0.25">
      <c r="B1655" s="38">
        <v>46002</v>
      </c>
      <c r="C1655" s="36" t="s">
        <v>445</v>
      </c>
      <c r="E1655">
        <v>5</v>
      </c>
      <c r="F1655" s="37"/>
    </row>
    <row r="1656" spans="2:6" x14ac:dyDescent="0.25">
      <c r="B1656" s="38">
        <v>46002</v>
      </c>
      <c r="C1656" s="36" t="s">
        <v>443</v>
      </c>
      <c r="E1656">
        <v>5</v>
      </c>
      <c r="F1656" s="37"/>
    </row>
    <row r="1657" spans="2:6" x14ac:dyDescent="0.25">
      <c r="B1657" s="38">
        <v>46002</v>
      </c>
      <c r="C1657" s="36" t="s">
        <v>573</v>
      </c>
      <c r="E1657">
        <v>7</v>
      </c>
      <c r="F1657" s="37"/>
    </row>
    <row r="1658" spans="2:6" x14ac:dyDescent="0.25">
      <c r="B1658" s="38">
        <v>46002</v>
      </c>
      <c r="C1658" s="36" t="s">
        <v>471</v>
      </c>
      <c r="E1658">
        <v>5</v>
      </c>
      <c r="F1658" s="37"/>
    </row>
    <row r="1659" spans="2:6" x14ac:dyDescent="0.25">
      <c r="B1659" s="38">
        <v>46003</v>
      </c>
      <c r="C1659" s="36" t="s">
        <v>176</v>
      </c>
      <c r="E1659">
        <v>12</v>
      </c>
      <c r="F1659" s="37"/>
    </row>
    <row r="1660" spans="2:6" x14ac:dyDescent="0.25">
      <c r="B1660" s="38">
        <v>46003</v>
      </c>
      <c r="C1660" s="36" t="s">
        <v>178</v>
      </c>
      <c r="E1660">
        <v>8</v>
      </c>
      <c r="F1660" s="37"/>
    </row>
    <row r="1661" spans="2:6" x14ac:dyDescent="0.25">
      <c r="B1661" s="38">
        <v>46003</v>
      </c>
      <c r="C1661" s="36" t="s">
        <v>177</v>
      </c>
      <c r="E1661">
        <v>10</v>
      </c>
      <c r="F1661" s="37"/>
    </row>
    <row r="1662" spans="2:6" x14ac:dyDescent="0.25">
      <c r="B1662" s="38">
        <v>46003</v>
      </c>
      <c r="C1662" s="36" t="s">
        <v>200</v>
      </c>
      <c r="E1662">
        <v>10</v>
      </c>
      <c r="F1662" s="37"/>
    </row>
    <row r="1663" spans="2:6" x14ac:dyDescent="0.25">
      <c r="B1663" s="38">
        <v>46003</v>
      </c>
      <c r="C1663" s="36" t="s">
        <v>406</v>
      </c>
      <c r="E1663">
        <v>2</v>
      </c>
      <c r="F1663" s="37"/>
    </row>
    <row r="1664" spans="2:6" x14ac:dyDescent="0.25">
      <c r="B1664" s="38">
        <v>46003</v>
      </c>
      <c r="C1664" s="36" t="s">
        <v>403</v>
      </c>
      <c r="E1664">
        <v>2</v>
      </c>
      <c r="F1664" s="37"/>
    </row>
    <row r="1665" spans="2:6" x14ac:dyDescent="0.25">
      <c r="B1665" s="38">
        <v>46003</v>
      </c>
      <c r="C1665" s="36" t="s">
        <v>405</v>
      </c>
      <c r="E1665">
        <v>2</v>
      </c>
      <c r="F1665" s="37"/>
    </row>
    <row r="1666" spans="2:6" x14ac:dyDescent="0.25">
      <c r="B1666" s="38">
        <v>46003</v>
      </c>
      <c r="C1666" s="36" t="s">
        <v>295</v>
      </c>
      <c r="D1666">
        <v>2</v>
      </c>
      <c r="F1666" s="37" t="s">
        <v>500</v>
      </c>
    </row>
    <row r="1667" spans="2:6" x14ac:dyDescent="0.25">
      <c r="B1667" s="38">
        <v>46003</v>
      </c>
      <c r="C1667" s="36" t="s">
        <v>599</v>
      </c>
      <c r="E1667">
        <v>20</v>
      </c>
      <c r="F1667" s="37"/>
    </row>
    <row r="1668" spans="2:6" x14ac:dyDescent="0.25">
      <c r="B1668" s="38">
        <v>46003</v>
      </c>
      <c r="C1668" s="36" t="s">
        <v>295</v>
      </c>
      <c r="E1668">
        <v>2</v>
      </c>
      <c r="F1668" s="37"/>
    </row>
    <row r="1669" spans="2:6" x14ac:dyDescent="0.25">
      <c r="B1669" s="38">
        <v>46003</v>
      </c>
      <c r="C1669" s="36" t="s">
        <v>417</v>
      </c>
      <c r="D1669">
        <v>10</v>
      </c>
      <c r="F1669" s="37" t="s">
        <v>413</v>
      </c>
    </row>
    <row r="1670" spans="2:6" x14ac:dyDescent="0.25">
      <c r="B1670" s="38">
        <v>46003</v>
      </c>
      <c r="C1670" s="36" t="s">
        <v>489</v>
      </c>
      <c r="D1670">
        <v>50</v>
      </c>
      <c r="F1670" s="37" t="s">
        <v>413</v>
      </c>
    </row>
    <row r="1671" spans="2:6" x14ac:dyDescent="0.25">
      <c r="B1671" s="38">
        <v>46003</v>
      </c>
      <c r="C1671" s="36" t="s">
        <v>488</v>
      </c>
      <c r="D1671">
        <v>25</v>
      </c>
      <c r="F1671" s="37" t="s">
        <v>413</v>
      </c>
    </row>
    <row r="1672" spans="2:6" x14ac:dyDescent="0.25">
      <c r="B1672" s="38">
        <v>46003</v>
      </c>
      <c r="C1672" s="36" t="s">
        <v>566</v>
      </c>
      <c r="D1672">
        <v>60</v>
      </c>
      <c r="F1672" s="37" t="s">
        <v>413</v>
      </c>
    </row>
    <row r="1673" spans="2:6" x14ac:dyDescent="0.25">
      <c r="B1673" s="38">
        <v>46003</v>
      </c>
      <c r="C1673" s="36" t="s">
        <v>465</v>
      </c>
      <c r="D1673">
        <v>50</v>
      </c>
      <c r="F1673" s="37" t="s">
        <v>413</v>
      </c>
    </row>
    <row r="1674" spans="2:6" x14ac:dyDescent="0.25">
      <c r="B1674" s="38">
        <v>46003</v>
      </c>
      <c r="C1674" s="36" t="s">
        <v>545</v>
      </c>
      <c r="D1674">
        <v>50</v>
      </c>
      <c r="F1674" s="37" t="s">
        <v>413</v>
      </c>
    </row>
    <row r="1675" spans="2:6" x14ac:dyDescent="0.25">
      <c r="B1675" s="38">
        <v>46003</v>
      </c>
      <c r="C1675" s="36" t="s">
        <v>237</v>
      </c>
      <c r="D1675">
        <v>10</v>
      </c>
      <c r="F1675" s="37" t="s">
        <v>413</v>
      </c>
    </row>
    <row r="1676" spans="2:6" x14ac:dyDescent="0.25">
      <c r="B1676" s="38">
        <v>46003</v>
      </c>
      <c r="C1676" s="36" t="s">
        <v>491</v>
      </c>
      <c r="D1676">
        <v>100</v>
      </c>
      <c r="F1676" s="37" t="s">
        <v>413</v>
      </c>
    </row>
    <row r="1677" spans="2:6" x14ac:dyDescent="0.25">
      <c r="B1677" s="38">
        <v>46003</v>
      </c>
      <c r="C1677" s="36" t="s">
        <v>606</v>
      </c>
      <c r="D1677">
        <v>30</v>
      </c>
      <c r="F1677" s="37" t="s">
        <v>413</v>
      </c>
    </row>
    <row r="1678" spans="2:6" x14ac:dyDescent="0.25">
      <c r="B1678" s="38">
        <v>46003</v>
      </c>
      <c r="C1678" s="36" t="s">
        <v>607</v>
      </c>
      <c r="D1678">
        <v>30</v>
      </c>
      <c r="F1678" s="37" t="s">
        <v>413</v>
      </c>
    </row>
    <row r="1679" spans="2:6" x14ac:dyDescent="0.25">
      <c r="B1679" s="38">
        <v>46003</v>
      </c>
      <c r="C1679" s="36" t="s">
        <v>472</v>
      </c>
      <c r="D1679">
        <v>100</v>
      </c>
      <c r="F1679" s="37" t="s">
        <v>413</v>
      </c>
    </row>
    <row r="1680" spans="2:6" x14ac:dyDescent="0.25">
      <c r="B1680" s="38">
        <v>46003</v>
      </c>
      <c r="C1680" s="36" t="s">
        <v>565</v>
      </c>
      <c r="D1680">
        <v>15</v>
      </c>
      <c r="F1680" s="37" t="s">
        <v>413</v>
      </c>
    </row>
    <row r="1681" spans="2:6" x14ac:dyDescent="0.25">
      <c r="B1681" s="38">
        <v>46003</v>
      </c>
      <c r="C1681" s="36" t="s">
        <v>492</v>
      </c>
      <c r="D1681">
        <v>100</v>
      </c>
      <c r="F1681" s="37" t="s">
        <v>413</v>
      </c>
    </row>
    <row r="1682" spans="2:6" x14ac:dyDescent="0.25">
      <c r="B1682" s="38">
        <v>46003</v>
      </c>
      <c r="C1682" s="36" t="s">
        <v>611</v>
      </c>
      <c r="D1682">
        <v>30</v>
      </c>
      <c r="F1682" s="37" t="s">
        <v>413</v>
      </c>
    </row>
    <row r="1683" spans="2:6" x14ac:dyDescent="0.25">
      <c r="B1683" s="38">
        <v>46003</v>
      </c>
      <c r="C1683" s="36" t="s">
        <v>612</v>
      </c>
      <c r="D1683">
        <v>30</v>
      </c>
      <c r="F1683" s="37" t="s">
        <v>413</v>
      </c>
    </row>
    <row r="1684" spans="2:6" x14ac:dyDescent="0.25">
      <c r="B1684" s="38">
        <v>46003</v>
      </c>
      <c r="C1684" s="36" t="s">
        <v>571</v>
      </c>
      <c r="D1684">
        <v>50</v>
      </c>
      <c r="F1684" s="37" t="s">
        <v>413</v>
      </c>
    </row>
    <row r="1685" spans="2:6" x14ac:dyDescent="0.25">
      <c r="B1685" s="38">
        <v>46003</v>
      </c>
      <c r="C1685" s="36" t="s">
        <v>250</v>
      </c>
      <c r="D1685">
        <v>100</v>
      </c>
      <c r="F1685" s="37" t="s">
        <v>413</v>
      </c>
    </row>
    <row r="1686" spans="2:6" x14ac:dyDescent="0.25">
      <c r="B1686" s="38">
        <v>46003</v>
      </c>
      <c r="C1686" s="36" t="s">
        <v>400</v>
      </c>
      <c r="D1686">
        <v>20</v>
      </c>
      <c r="F1686" s="37" t="s">
        <v>413</v>
      </c>
    </row>
    <row r="1687" spans="2:6" x14ac:dyDescent="0.25">
      <c r="B1687" s="38">
        <v>46003</v>
      </c>
      <c r="C1687" s="36" t="s">
        <v>493</v>
      </c>
      <c r="D1687">
        <v>100</v>
      </c>
      <c r="F1687" s="37" t="s">
        <v>413</v>
      </c>
    </row>
    <row r="1688" spans="2:6" x14ac:dyDescent="0.25">
      <c r="B1688" s="38">
        <v>46003</v>
      </c>
      <c r="C1688" s="36" t="s">
        <v>610</v>
      </c>
      <c r="D1688">
        <v>30</v>
      </c>
      <c r="F1688" s="37" t="s">
        <v>413</v>
      </c>
    </row>
    <row r="1689" spans="2:6" x14ac:dyDescent="0.25">
      <c r="B1689" s="38">
        <v>46003</v>
      </c>
      <c r="C1689" s="36" t="s">
        <v>608</v>
      </c>
      <c r="D1689">
        <v>30</v>
      </c>
      <c r="F1689" s="37" t="s">
        <v>413</v>
      </c>
    </row>
    <row r="1690" spans="2:6" x14ac:dyDescent="0.25">
      <c r="B1690" s="38">
        <v>46003</v>
      </c>
      <c r="C1690" s="36" t="s">
        <v>613</v>
      </c>
      <c r="D1690">
        <v>50</v>
      </c>
      <c r="F1690" s="37" t="s">
        <v>413</v>
      </c>
    </row>
    <row r="1691" spans="2:6" x14ac:dyDescent="0.25">
      <c r="B1691" s="38">
        <v>46003</v>
      </c>
      <c r="C1691" s="36" t="s">
        <v>604</v>
      </c>
      <c r="D1691">
        <v>50</v>
      </c>
      <c r="F1691" s="37" t="s">
        <v>563</v>
      </c>
    </row>
    <row r="1692" spans="2:6" x14ac:dyDescent="0.25">
      <c r="B1692" s="38">
        <v>46003</v>
      </c>
      <c r="C1692" s="36" t="s">
        <v>489</v>
      </c>
      <c r="E1692">
        <v>10</v>
      </c>
      <c r="F1692" s="37"/>
    </row>
    <row r="1693" spans="2:6" x14ac:dyDescent="0.25">
      <c r="B1693" s="38">
        <v>46003</v>
      </c>
      <c r="C1693" s="36" t="s">
        <v>472</v>
      </c>
      <c r="E1693">
        <v>20</v>
      </c>
      <c r="F1693" s="37"/>
    </row>
    <row r="1694" spans="2:6" x14ac:dyDescent="0.25">
      <c r="B1694" s="38">
        <v>46003</v>
      </c>
      <c r="C1694" s="36" t="s">
        <v>611</v>
      </c>
      <c r="E1694">
        <v>10</v>
      </c>
      <c r="F1694" s="37"/>
    </row>
    <row r="1695" spans="2:6" x14ac:dyDescent="0.25">
      <c r="B1695" s="38">
        <v>46003</v>
      </c>
      <c r="C1695" s="36" t="s">
        <v>612</v>
      </c>
      <c r="E1695">
        <v>10</v>
      </c>
      <c r="F1695" s="37"/>
    </row>
    <row r="1696" spans="2:6" x14ac:dyDescent="0.25">
      <c r="B1696" s="38">
        <v>46003</v>
      </c>
      <c r="C1696" s="36" t="s">
        <v>608</v>
      </c>
      <c r="E1696">
        <v>10</v>
      </c>
      <c r="F1696" s="37"/>
    </row>
    <row r="1697" spans="2:6" x14ac:dyDescent="0.25">
      <c r="B1697" s="38">
        <v>46003</v>
      </c>
      <c r="C1697" s="36" t="s">
        <v>610</v>
      </c>
      <c r="E1697">
        <v>10</v>
      </c>
      <c r="F1697" s="37"/>
    </row>
    <row r="1698" spans="2:6" x14ac:dyDescent="0.25">
      <c r="B1698" s="38">
        <v>46004</v>
      </c>
      <c r="C1698" s="36" t="s">
        <v>602</v>
      </c>
      <c r="E1698">
        <v>10</v>
      </c>
      <c r="F1698" s="37"/>
    </row>
    <row r="1699" spans="2:6" x14ac:dyDescent="0.25">
      <c r="B1699" s="38">
        <v>46004</v>
      </c>
      <c r="C1699" s="36" t="s">
        <v>493</v>
      </c>
      <c r="E1699">
        <v>10</v>
      </c>
      <c r="F1699" s="37"/>
    </row>
    <row r="1700" spans="2:6" x14ac:dyDescent="0.25">
      <c r="B1700" s="38">
        <v>46004</v>
      </c>
      <c r="C1700" s="36" t="s">
        <v>492</v>
      </c>
      <c r="E1700">
        <v>10</v>
      </c>
      <c r="F1700" s="37"/>
    </row>
    <row r="1701" spans="2:6" x14ac:dyDescent="0.25">
      <c r="B1701" s="38">
        <v>46004</v>
      </c>
      <c r="C1701" s="36" t="s">
        <v>421</v>
      </c>
      <c r="E1701">
        <v>10</v>
      </c>
      <c r="F1701" s="37"/>
    </row>
    <row r="1702" spans="2:6" x14ac:dyDescent="0.25">
      <c r="B1702" s="38">
        <v>46004</v>
      </c>
      <c r="C1702" s="36" t="s">
        <v>419</v>
      </c>
      <c r="E1702">
        <v>10</v>
      </c>
      <c r="F1702" s="37"/>
    </row>
    <row r="1703" spans="2:6" x14ac:dyDescent="0.25">
      <c r="B1703" s="38">
        <v>46004</v>
      </c>
      <c r="C1703" s="36" t="s">
        <v>445</v>
      </c>
      <c r="E1703">
        <v>5</v>
      </c>
      <c r="F1703" s="37"/>
    </row>
    <row r="1704" spans="2:6" x14ac:dyDescent="0.25">
      <c r="B1704" s="38">
        <v>46004</v>
      </c>
      <c r="C1704" s="36" t="s">
        <v>397</v>
      </c>
      <c r="E1704">
        <v>10</v>
      </c>
      <c r="F1704" s="37"/>
    </row>
    <row r="1705" spans="2:6" x14ac:dyDescent="0.25">
      <c r="B1705" s="38">
        <v>46004</v>
      </c>
      <c r="C1705" s="36" t="s">
        <v>604</v>
      </c>
      <c r="E1705">
        <v>10</v>
      </c>
      <c r="F1705" s="37"/>
    </row>
    <row r="1706" spans="2:6" x14ac:dyDescent="0.25">
      <c r="B1706" s="38">
        <v>46004</v>
      </c>
      <c r="C1706" s="36" t="s">
        <v>566</v>
      </c>
      <c r="E1706">
        <v>20</v>
      </c>
      <c r="F1706" s="37"/>
    </row>
    <row r="1707" spans="2:6" x14ac:dyDescent="0.25">
      <c r="B1707" s="38">
        <v>46004</v>
      </c>
      <c r="C1707" s="36" t="s">
        <v>346</v>
      </c>
      <c r="E1707">
        <v>7</v>
      </c>
      <c r="F1707" s="37"/>
    </row>
    <row r="1708" spans="2:6" x14ac:dyDescent="0.25">
      <c r="B1708" s="38">
        <v>46004</v>
      </c>
      <c r="C1708" s="36" t="s">
        <v>224</v>
      </c>
      <c r="E1708">
        <v>4</v>
      </c>
      <c r="F1708" s="37"/>
    </row>
    <row r="1709" spans="2:6" x14ac:dyDescent="0.25">
      <c r="B1709" s="38">
        <v>46004</v>
      </c>
      <c r="C1709" s="36" t="s">
        <v>527</v>
      </c>
      <c r="E1709">
        <v>10</v>
      </c>
      <c r="F1709" s="37"/>
    </row>
    <row r="1710" spans="2:6" x14ac:dyDescent="0.25">
      <c r="B1710" s="38">
        <v>46004</v>
      </c>
      <c r="C1710" s="36" t="s">
        <v>173</v>
      </c>
      <c r="E1710">
        <v>5</v>
      </c>
      <c r="F1710" s="37"/>
    </row>
    <row r="1711" spans="2:6" x14ac:dyDescent="0.25">
      <c r="B1711" s="38">
        <v>46004</v>
      </c>
      <c r="C1711" s="36" t="s">
        <v>159</v>
      </c>
      <c r="E1711">
        <v>2</v>
      </c>
      <c r="F1711" s="37"/>
    </row>
    <row r="1712" spans="2:6" x14ac:dyDescent="0.25">
      <c r="B1712" s="38">
        <v>46004</v>
      </c>
      <c r="C1712" s="36" t="s">
        <v>468</v>
      </c>
      <c r="E1712">
        <v>11</v>
      </c>
      <c r="F1712" s="37"/>
    </row>
    <row r="1713" spans="2:6" x14ac:dyDescent="0.25">
      <c r="B1713" s="38">
        <v>46006</v>
      </c>
      <c r="C1713" s="36" t="s">
        <v>250</v>
      </c>
      <c r="E1713">
        <v>20</v>
      </c>
      <c r="F1713" s="37"/>
    </row>
    <row r="1714" spans="2:6" x14ac:dyDescent="0.25">
      <c r="B1714" s="38">
        <v>46006</v>
      </c>
      <c r="C1714" s="36" t="s">
        <v>183</v>
      </c>
      <c r="E1714">
        <v>1</v>
      </c>
      <c r="F1714" s="37"/>
    </row>
    <row r="1715" spans="2:6" x14ac:dyDescent="0.25">
      <c r="B1715" s="38">
        <v>46006</v>
      </c>
      <c r="C1715" s="36" t="s">
        <v>184</v>
      </c>
      <c r="E1715">
        <v>1</v>
      </c>
      <c r="F1715" s="37"/>
    </row>
    <row r="1716" spans="2:6" x14ac:dyDescent="0.25">
      <c r="B1716" s="38">
        <v>46006</v>
      </c>
      <c r="C1716" s="36" t="s">
        <v>529</v>
      </c>
      <c r="E1716">
        <v>1</v>
      </c>
      <c r="F1716" s="37"/>
    </row>
    <row r="1717" spans="2:6" x14ac:dyDescent="0.25">
      <c r="B1717" s="38">
        <v>46007</v>
      </c>
      <c r="C1717" s="36" t="s">
        <v>525</v>
      </c>
      <c r="D1717">
        <v>200</v>
      </c>
      <c r="F1717" s="37" t="s">
        <v>564</v>
      </c>
    </row>
    <row r="1718" spans="2:6" x14ac:dyDescent="0.25">
      <c r="B1718" s="38">
        <v>46007</v>
      </c>
      <c r="C1718" s="36" t="s">
        <v>535</v>
      </c>
      <c r="D1718">
        <v>50</v>
      </c>
      <c r="F1718" s="37" t="s">
        <v>564</v>
      </c>
    </row>
    <row r="1719" spans="2:6" x14ac:dyDescent="0.25">
      <c r="B1719" s="38">
        <v>46007</v>
      </c>
      <c r="C1719" s="36" t="s">
        <v>146</v>
      </c>
      <c r="D1719">
        <v>30</v>
      </c>
      <c r="F1719" s="37" t="s">
        <v>564</v>
      </c>
    </row>
    <row r="1720" spans="2:6" x14ac:dyDescent="0.25">
      <c r="B1720" s="38">
        <v>46007</v>
      </c>
      <c r="C1720" s="36" t="s">
        <v>562</v>
      </c>
      <c r="E1720">
        <v>2</v>
      </c>
      <c r="F1720" s="37"/>
    </row>
    <row r="1721" spans="2:6" x14ac:dyDescent="0.25">
      <c r="B1721" s="38">
        <v>46007</v>
      </c>
      <c r="C1721" s="36" t="s">
        <v>171</v>
      </c>
      <c r="E1721">
        <v>5</v>
      </c>
      <c r="F1721" s="37"/>
    </row>
    <row r="1722" spans="2:6" x14ac:dyDescent="0.25">
      <c r="B1722" s="38">
        <v>46007</v>
      </c>
      <c r="C1722" s="36" t="s">
        <v>499</v>
      </c>
      <c r="E1722">
        <v>5</v>
      </c>
      <c r="F1722" s="37"/>
    </row>
    <row r="1723" spans="2:6" x14ac:dyDescent="0.25">
      <c r="B1723" s="38">
        <v>46007</v>
      </c>
      <c r="C1723" s="36" t="s">
        <v>240</v>
      </c>
      <c r="E1723">
        <v>5</v>
      </c>
      <c r="F1723" s="37"/>
    </row>
    <row r="1724" spans="2:6" x14ac:dyDescent="0.25">
      <c r="B1724" s="38">
        <v>46007</v>
      </c>
      <c r="C1724" s="36" t="s">
        <v>571</v>
      </c>
      <c r="E1724">
        <v>10</v>
      </c>
      <c r="F1724" s="37"/>
    </row>
    <row r="1725" spans="2:6" x14ac:dyDescent="0.25">
      <c r="B1725" s="38">
        <v>46007</v>
      </c>
      <c r="C1725" s="36" t="s">
        <v>599</v>
      </c>
      <c r="E1725">
        <v>20</v>
      </c>
      <c r="F1725" s="37"/>
    </row>
    <row r="1726" spans="2:6" x14ac:dyDescent="0.25">
      <c r="B1726" s="38">
        <v>46007</v>
      </c>
      <c r="C1726" s="36" t="s">
        <v>145</v>
      </c>
      <c r="E1726">
        <v>10</v>
      </c>
      <c r="F1726" s="37"/>
    </row>
    <row r="1727" spans="2:6" x14ac:dyDescent="0.25">
      <c r="B1727" s="38">
        <v>46007</v>
      </c>
      <c r="C1727" s="36" t="s">
        <v>577</v>
      </c>
      <c r="E1727">
        <v>1</v>
      </c>
      <c r="F1727" s="37"/>
    </row>
    <row r="1728" spans="2:6" x14ac:dyDescent="0.25">
      <c r="B1728" s="38">
        <v>46007</v>
      </c>
      <c r="C1728" s="36" t="s">
        <v>289</v>
      </c>
      <c r="E1728">
        <v>1</v>
      </c>
      <c r="F1728" s="37"/>
    </row>
    <row r="1729" spans="2:6" x14ac:dyDescent="0.25">
      <c r="B1729" s="38">
        <v>46007</v>
      </c>
      <c r="C1729" s="36" t="s">
        <v>234</v>
      </c>
      <c r="E1729">
        <v>2</v>
      </c>
      <c r="F1729" s="37"/>
    </row>
    <row r="1730" spans="2:6" x14ac:dyDescent="0.25">
      <c r="B1730" s="38">
        <v>46007</v>
      </c>
      <c r="C1730" s="36" t="s">
        <v>599</v>
      </c>
      <c r="E1730">
        <v>40</v>
      </c>
      <c r="F1730" s="37"/>
    </row>
    <row r="1731" spans="2:6" x14ac:dyDescent="0.25">
      <c r="B1731" s="38">
        <v>46008</v>
      </c>
      <c r="C1731" s="36" t="s">
        <v>614</v>
      </c>
      <c r="D1731">
        <v>105</v>
      </c>
      <c r="F1731" s="37" t="s">
        <v>563</v>
      </c>
    </row>
    <row r="1732" spans="2:6" x14ac:dyDescent="0.25">
      <c r="B1732" s="38">
        <v>46008</v>
      </c>
      <c r="C1732" s="36" t="s">
        <v>452</v>
      </c>
      <c r="D1732">
        <v>150</v>
      </c>
      <c r="F1732" s="37" t="s">
        <v>509</v>
      </c>
    </row>
    <row r="1733" spans="2:6" x14ac:dyDescent="0.25">
      <c r="B1733" s="38">
        <v>46008</v>
      </c>
      <c r="C1733" s="36" t="s">
        <v>615</v>
      </c>
      <c r="D1733">
        <v>100</v>
      </c>
      <c r="F1733" s="37" t="s">
        <v>509</v>
      </c>
    </row>
    <row r="1734" spans="2:6" x14ac:dyDescent="0.25">
      <c r="B1734" s="38">
        <v>46008</v>
      </c>
      <c r="C1734" s="36" t="s">
        <v>138</v>
      </c>
      <c r="D1734">
        <v>100</v>
      </c>
      <c r="F1734" s="37" t="s">
        <v>509</v>
      </c>
    </row>
    <row r="1735" spans="2:6" x14ac:dyDescent="0.25">
      <c r="B1735" s="38">
        <v>46008</v>
      </c>
      <c r="C1735" s="36" t="s">
        <v>139</v>
      </c>
      <c r="D1735">
        <v>180</v>
      </c>
      <c r="F1735" s="37" t="s">
        <v>509</v>
      </c>
    </row>
    <row r="1736" spans="2:6" x14ac:dyDescent="0.25">
      <c r="B1736" s="38">
        <v>46008</v>
      </c>
      <c r="C1736" s="36" t="s">
        <v>140</v>
      </c>
      <c r="D1736">
        <v>120</v>
      </c>
      <c r="F1736" s="37" t="s">
        <v>509</v>
      </c>
    </row>
    <row r="1737" spans="2:6" x14ac:dyDescent="0.25">
      <c r="B1737" s="38">
        <v>46008</v>
      </c>
      <c r="C1737" s="36" t="s">
        <v>420</v>
      </c>
      <c r="D1737">
        <v>100</v>
      </c>
      <c r="F1737" s="37" t="s">
        <v>509</v>
      </c>
    </row>
    <row r="1738" spans="2:6" x14ac:dyDescent="0.25">
      <c r="B1738" s="38">
        <v>46008</v>
      </c>
      <c r="C1738" s="36" t="s">
        <v>616</v>
      </c>
      <c r="D1738">
        <v>50</v>
      </c>
      <c r="F1738" s="37" t="s">
        <v>509</v>
      </c>
    </row>
    <row r="1739" spans="2:6" x14ac:dyDescent="0.25">
      <c r="B1739" s="38">
        <v>46008</v>
      </c>
      <c r="C1739" s="36" t="s">
        <v>552</v>
      </c>
      <c r="D1739">
        <v>100</v>
      </c>
      <c r="F1739" s="37" t="s">
        <v>509</v>
      </c>
    </row>
    <row r="1740" spans="2:6" x14ac:dyDescent="0.25">
      <c r="B1740" s="38">
        <v>46008</v>
      </c>
      <c r="C1740" s="36" t="s">
        <v>625</v>
      </c>
      <c r="D1740">
        <v>50</v>
      </c>
      <c r="F1740" s="37" t="s">
        <v>509</v>
      </c>
    </row>
    <row r="1741" spans="2:6" x14ac:dyDescent="0.25">
      <c r="B1741" s="38">
        <v>46008</v>
      </c>
      <c r="C1741" s="36" t="s">
        <v>624</v>
      </c>
      <c r="D1741">
        <v>50</v>
      </c>
      <c r="F1741" s="37" t="s">
        <v>509</v>
      </c>
    </row>
    <row r="1742" spans="2:6" x14ac:dyDescent="0.25">
      <c r="B1742" s="38">
        <v>46008</v>
      </c>
      <c r="C1742" s="36" t="s">
        <v>397</v>
      </c>
      <c r="D1742">
        <v>150</v>
      </c>
      <c r="F1742" s="37" t="s">
        <v>509</v>
      </c>
    </row>
    <row r="1743" spans="2:6" x14ac:dyDescent="0.25">
      <c r="B1743" s="38">
        <v>46008</v>
      </c>
      <c r="C1743" s="36" t="s">
        <v>142</v>
      </c>
      <c r="D1743">
        <v>50</v>
      </c>
      <c r="F1743" s="37" t="s">
        <v>509</v>
      </c>
    </row>
    <row r="1744" spans="2:6" x14ac:dyDescent="0.25">
      <c r="B1744" s="38">
        <v>46008</v>
      </c>
      <c r="C1744" s="36" t="s">
        <v>159</v>
      </c>
      <c r="D1744">
        <v>50</v>
      </c>
      <c r="F1744" s="37" t="s">
        <v>509</v>
      </c>
    </row>
    <row r="1745" spans="2:6" x14ac:dyDescent="0.25">
      <c r="B1745" s="38">
        <v>46008</v>
      </c>
      <c r="C1745" s="36" t="s">
        <v>317</v>
      </c>
      <c r="D1745">
        <v>50</v>
      </c>
      <c r="F1745" s="37" t="s">
        <v>509</v>
      </c>
    </row>
    <row r="1746" spans="2:6" x14ac:dyDescent="0.25">
      <c r="B1746" s="38">
        <v>46008</v>
      </c>
      <c r="C1746" s="36" t="s">
        <v>166</v>
      </c>
      <c r="D1746">
        <v>50</v>
      </c>
      <c r="F1746" s="37" t="s">
        <v>509</v>
      </c>
    </row>
    <row r="1747" spans="2:6" x14ac:dyDescent="0.25">
      <c r="B1747" s="38">
        <v>46008</v>
      </c>
      <c r="C1747" s="36" t="s">
        <v>171</v>
      </c>
      <c r="D1747">
        <v>100</v>
      </c>
      <c r="F1747" s="37" t="s">
        <v>509</v>
      </c>
    </row>
    <row r="1748" spans="2:6" x14ac:dyDescent="0.25">
      <c r="B1748" s="38">
        <v>46008</v>
      </c>
      <c r="C1748" s="36" t="s">
        <v>432</v>
      </c>
      <c r="D1748">
        <v>100</v>
      </c>
      <c r="F1748" s="37" t="s">
        <v>509</v>
      </c>
    </row>
    <row r="1749" spans="2:6" x14ac:dyDescent="0.25">
      <c r="B1749" s="38">
        <v>46008</v>
      </c>
      <c r="C1749" s="36" t="s">
        <v>173</v>
      </c>
      <c r="D1749">
        <v>50</v>
      </c>
      <c r="F1749" s="37" t="s">
        <v>509</v>
      </c>
    </row>
    <row r="1750" spans="2:6" x14ac:dyDescent="0.25">
      <c r="B1750" s="38">
        <v>46008</v>
      </c>
      <c r="C1750" s="36" t="s">
        <v>541</v>
      </c>
      <c r="D1750">
        <v>31</v>
      </c>
      <c r="F1750" s="37" t="s">
        <v>509</v>
      </c>
    </row>
    <row r="1751" spans="2:6" x14ac:dyDescent="0.25">
      <c r="B1751" s="38">
        <v>46008</v>
      </c>
      <c r="C1751" s="36" t="s">
        <v>596</v>
      </c>
      <c r="D1751">
        <v>100</v>
      </c>
      <c r="F1751" s="37" t="s">
        <v>509</v>
      </c>
    </row>
    <row r="1752" spans="2:6" x14ac:dyDescent="0.25">
      <c r="B1752" s="38">
        <v>46008</v>
      </c>
      <c r="C1752" s="36" t="s">
        <v>623</v>
      </c>
      <c r="D1752">
        <v>2</v>
      </c>
      <c r="F1752" s="37" t="s">
        <v>509</v>
      </c>
    </row>
    <row r="1753" spans="2:6" x14ac:dyDescent="0.25">
      <c r="B1753" s="38">
        <v>46008</v>
      </c>
      <c r="C1753" s="36" t="s">
        <v>486</v>
      </c>
      <c r="D1753">
        <v>4</v>
      </c>
      <c r="F1753" s="37" t="s">
        <v>509</v>
      </c>
    </row>
    <row r="1754" spans="2:6" x14ac:dyDescent="0.25">
      <c r="B1754" s="38">
        <v>46008</v>
      </c>
      <c r="C1754" s="36" t="s">
        <v>550</v>
      </c>
      <c r="D1754">
        <v>150</v>
      </c>
      <c r="F1754" s="37" t="s">
        <v>509</v>
      </c>
    </row>
    <row r="1755" spans="2:6" x14ac:dyDescent="0.25">
      <c r="B1755" s="38">
        <v>46008</v>
      </c>
      <c r="C1755" s="36" t="s">
        <v>530</v>
      </c>
      <c r="D1755">
        <v>3</v>
      </c>
      <c r="F1755" s="37" t="s">
        <v>509</v>
      </c>
    </row>
    <row r="1756" spans="2:6" x14ac:dyDescent="0.25">
      <c r="B1756" s="38">
        <v>46008</v>
      </c>
      <c r="C1756" s="36" t="s">
        <v>632</v>
      </c>
      <c r="D1756">
        <v>2</v>
      </c>
      <c r="F1756" s="37" t="s">
        <v>509</v>
      </c>
    </row>
    <row r="1757" spans="2:6" x14ac:dyDescent="0.25">
      <c r="B1757" s="38">
        <v>46008</v>
      </c>
      <c r="C1757" s="36" t="s">
        <v>124</v>
      </c>
      <c r="D1757">
        <v>130</v>
      </c>
      <c r="F1757" s="37" t="s">
        <v>509</v>
      </c>
    </row>
    <row r="1758" spans="2:6" x14ac:dyDescent="0.25">
      <c r="B1758" s="38">
        <v>46008</v>
      </c>
      <c r="C1758" t="s">
        <v>373</v>
      </c>
      <c r="D1758">
        <v>50</v>
      </c>
      <c r="F1758" s="37" t="s">
        <v>509</v>
      </c>
    </row>
    <row r="1759" spans="2:6" x14ac:dyDescent="0.25">
      <c r="B1759" s="38">
        <v>46008</v>
      </c>
      <c r="C1759" t="s">
        <v>619</v>
      </c>
      <c r="D1759">
        <v>50</v>
      </c>
      <c r="F1759" s="37" t="s">
        <v>509</v>
      </c>
    </row>
    <row r="1760" spans="2:6" x14ac:dyDescent="0.25">
      <c r="B1760" s="38">
        <v>46008</v>
      </c>
      <c r="C1760" t="s">
        <v>617</v>
      </c>
      <c r="D1760">
        <v>50</v>
      </c>
      <c r="F1760" s="37" t="s">
        <v>509</v>
      </c>
    </row>
    <row r="1761" spans="2:6" x14ac:dyDescent="0.25">
      <c r="B1761" s="38">
        <v>46008</v>
      </c>
      <c r="C1761" t="s">
        <v>620</v>
      </c>
      <c r="D1761">
        <v>50</v>
      </c>
      <c r="F1761" s="37" t="s">
        <v>509</v>
      </c>
    </row>
    <row r="1762" spans="2:6" x14ac:dyDescent="0.25">
      <c r="B1762" s="38">
        <v>46008</v>
      </c>
      <c r="C1762" t="s">
        <v>378</v>
      </c>
      <c r="D1762">
        <v>50</v>
      </c>
      <c r="F1762" s="37" t="s">
        <v>509</v>
      </c>
    </row>
    <row r="1763" spans="2:6" x14ac:dyDescent="0.25">
      <c r="B1763" s="38">
        <v>46008</v>
      </c>
      <c r="C1763" t="s">
        <v>253</v>
      </c>
      <c r="D1763">
        <v>50</v>
      </c>
      <c r="F1763" s="37" t="s">
        <v>509</v>
      </c>
    </row>
    <row r="1764" spans="2:6" x14ac:dyDescent="0.25">
      <c r="B1764" s="38">
        <v>46008</v>
      </c>
      <c r="C1764" t="s">
        <v>425</v>
      </c>
      <c r="D1764">
        <v>50</v>
      </c>
      <c r="F1764" s="37" t="s">
        <v>509</v>
      </c>
    </row>
    <row r="1765" spans="2:6" x14ac:dyDescent="0.25">
      <c r="B1765" s="38">
        <v>46008</v>
      </c>
      <c r="C1765" t="s">
        <v>627</v>
      </c>
      <c r="D1765">
        <v>60</v>
      </c>
      <c r="F1765" s="37" t="s">
        <v>509</v>
      </c>
    </row>
    <row r="1766" spans="2:6" x14ac:dyDescent="0.25">
      <c r="B1766" s="38">
        <v>46008</v>
      </c>
      <c r="C1766" t="s">
        <v>212</v>
      </c>
      <c r="D1766">
        <v>100</v>
      </c>
      <c r="F1766" s="37" t="s">
        <v>509</v>
      </c>
    </row>
    <row r="1767" spans="2:6" x14ac:dyDescent="0.25">
      <c r="B1767" s="38">
        <v>46008</v>
      </c>
      <c r="C1767" t="s">
        <v>579</v>
      </c>
      <c r="D1767">
        <v>50</v>
      </c>
      <c r="F1767" s="37" t="s">
        <v>509</v>
      </c>
    </row>
    <row r="1768" spans="2:6" x14ac:dyDescent="0.25">
      <c r="B1768" s="38">
        <v>46008</v>
      </c>
      <c r="C1768" t="s">
        <v>249</v>
      </c>
      <c r="D1768">
        <v>2</v>
      </c>
      <c r="F1768" s="37" t="s">
        <v>509</v>
      </c>
    </row>
    <row r="1769" spans="2:6" x14ac:dyDescent="0.25">
      <c r="B1769" s="38">
        <v>46008</v>
      </c>
      <c r="C1769" t="s">
        <v>506</v>
      </c>
      <c r="D1769">
        <v>20</v>
      </c>
      <c r="F1769" s="37" t="s">
        <v>509</v>
      </c>
    </row>
    <row r="1770" spans="2:6" x14ac:dyDescent="0.25">
      <c r="B1770" s="38">
        <v>46008</v>
      </c>
      <c r="C1770" t="s">
        <v>621</v>
      </c>
      <c r="D1770">
        <v>30</v>
      </c>
      <c r="F1770" s="37" t="s">
        <v>509</v>
      </c>
    </row>
    <row r="1771" spans="2:6" x14ac:dyDescent="0.25">
      <c r="B1771" s="38">
        <v>46008</v>
      </c>
      <c r="C1771" t="s">
        <v>178</v>
      </c>
      <c r="D1771">
        <v>20</v>
      </c>
      <c r="F1771" s="37" t="s">
        <v>509</v>
      </c>
    </row>
    <row r="1772" spans="2:6" x14ac:dyDescent="0.25">
      <c r="B1772" s="38">
        <v>46008</v>
      </c>
      <c r="C1772" t="s">
        <v>176</v>
      </c>
      <c r="D1772">
        <v>10</v>
      </c>
      <c r="F1772" s="37" t="s">
        <v>509</v>
      </c>
    </row>
    <row r="1773" spans="2:6" x14ac:dyDescent="0.25">
      <c r="B1773" s="38">
        <v>46008</v>
      </c>
      <c r="C1773" t="s">
        <v>403</v>
      </c>
      <c r="D1773">
        <v>10</v>
      </c>
      <c r="F1773" s="37" t="s">
        <v>509</v>
      </c>
    </row>
    <row r="1774" spans="2:6" x14ac:dyDescent="0.25">
      <c r="B1774" s="38">
        <v>46008</v>
      </c>
      <c r="C1774" t="s">
        <v>405</v>
      </c>
      <c r="D1774">
        <v>10</v>
      </c>
      <c r="F1774" s="37" t="s">
        <v>509</v>
      </c>
    </row>
    <row r="1775" spans="2:6" x14ac:dyDescent="0.25">
      <c r="B1775" s="38">
        <v>46008</v>
      </c>
      <c r="C1775" t="s">
        <v>629</v>
      </c>
      <c r="D1775">
        <v>36</v>
      </c>
      <c r="F1775" s="37" t="s">
        <v>509</v>
      </c>
    </row>
    <row r="1776" spans="2:6" x14ac:dyDescent="0.25">
      <c r="B1776" s="38">
        <v>46008</v>
      </c>
      <c r="C1776" t="s">
        <v>421</v>
      </c>
      <c r="D1776">
        <v>150</v>
      </c>
      <c r="F1776" s="37" t="s">
        <v>509</v>
      </c>
    </row>
    <row r="1777" spans="2:6" x14ac:dyDescent="0.25">
      <c r="B1777" s="38">
        <v>46008</v>
      </c>
      <c r="C1777" t="s">
        <v>633</v>
      </c>
      <c r="D1777">
        <v>10</v>
      </c>
      <c r="F1777" s="37" t="s">
        <v>509</v>
      </c>
    </row>
    <row r="1778" spans="2:6" x14ac:dyDescent="0.25">
      <c r="B1778" s="38">
        <v>46010</v>
      </c>
      <c r="C1778" t="s">
        <v>452</v>
      </c>
      <c r="E1778">
        <v>12</v>
      </c>
      <c r="F1778" s="37"/>
    </row>
    <row r="1779" spans="2:6" x14ac:dyDescent="0.25">
      <c r="B1779" s="38">
        <v>46010</v>
      </c>
      <c r="C1779" t="s">
        <v>596</v>
      </c>
      <c r="E1779">
        <v>15</v>
      </c>
      <c r="F1779" s="37"/>
    </row>
    <row r="1780" spans="2:6" x14ac:dyDescent="0.25">
      <c r="B1780" s="38">
        <v>46010</v>
      </c>
      <c r="C1780" t="s">
        <v>547</v>
      </c>
      <c r="E1780">
        <v>5</v>
      </c>
      <c r="F1780" s="37"/>
    </row>
    <row r="1781" spans="2:6" x14ac:dyDescent="0.25">
      <c r="B1781" s="38">
        <v>46010</v>
      </c>
      <c r="C1781" t="s">
        <v>140</v>
      </c>
      <c r="E1781">
        <v>18</v>
      </c>
      <c r="F1781" s="37"/>
    </row>
    <row r="1782" spans="2:6" x14ac:dyDescent="0.25">
      <c r="B1782" s="38">
        <v>46010</v>
      </c>
      <c r="C1782" t="s">
        <v>138</v>
      </c>
      <c r="E1782">
        <v>20</v>
      </c>
      <c r="F1782" s="37"/>
    </row>
    <row r="1783" spans="2:6" x14ac:dyDescent="0.25">
      <c r="B1783" s="38">
        <v>46010</v>
      </c>
      <c r="C1783" t="s">
        <v>410</v>
      </c>
      <c r="E1783">
        <v>2</v>
      </c>
      <c r="F1783" s="37"/>
    </row>
    <row r="1784" spans="2:6" x14ac:dyDescent="0.25">
      <c r="B1784" s="38">
        <v>46010</v>
      </c>
      <c r="C1784" t="s">
        <v>421</v>
      </c>
      <c r="E1784">
        <v>10</v>
      </c>
      <c r="F1784" s="37"/>
    </row>
    <row r="1785" spans="2:6" x14ac:dyDescent="0.25">
      <c r="B1785" s="38">
        <v>46010</v>
      </c>
      <c r="C1785" t="s">
        <v>235</v>
      </c>
      <c r="E1785">
        <v>8</v>
      </c>
      <c r="F1785" s="37"/>
    </row>
    <row r="1786" spans="2:6" x14ac:dyDescent="0.25">
      <c r="B1786" s="38">
        <v>46010</v>
      </c>
      <c r="C1786" t="s">
        <v>593</v>
      </c>
      <c r="E1786">
        <v>10</v>
      </c>
      <c r="F1786" s="37"/>
    </row>
    <row r="1787" spans="2:6" x14ac:dyDescent="0.25">
      <c r="B1787" s="38">
        <v>46010</v>
      </c>
      <c r="C1787" t="s">
        <v>569</v>
      </c>
      <c r="E1787">
        <v>10</v>
      </c>
      <c r="F1787" s="37"/>
    </row>
    <row r="1788" spans="2:6" x14ac:dyDescent="0.25">
      <c r="B1788" s="38">
        <v>46010</v>
      </c>
      <c r="C1788" t="s">
        <v>468</v>
      </c>
      <c r="E1788">
        <v>10</v>
      </c>
      <c r="F1788" s="37"/>
    </row>
    <row r="1789" spans="2:6" x14ac:dyDescent="0.25">
      <c r="B1789" s="38">
        <v>46010</v>
      </c>
      <c r="C1789" t="s">
        <v>590</v>
      </c>
      <c r="E1789">
        <v>10</v>
      </c>
      <c r="F1789" s="37"/>
    </row>
    <row r="1790" spans="2:6" x14ac:dyDescent="0.25">
      <c r="B1790" s="38">
        <v>46010</v>
      </c>
      <c r="C1790" t="s">
        <v>552</v>
      </c>
      <c r="E1790">
        <v>20</v>
      </c>
      <c r="F1790" s="37"/>
    </row>
    <row r="1791" spans="2:6" x14ac:dyDescent="0.25">
      <c r="B1791" s="38">
        <v>46010</v>
      </c>
      <c r="C1791" t="s">
        <v>514</v>
      </c>
      <c r="E1791">
        <v>5</v>
      </c>
      <c r="F1791" s="37"/>
    </row>
    <row r="1792" spans="2:6" x14ac:dyDescent="0.25">
      <c r="B1792" s="38">
        <v>46010</v>
      </c>
      <c r="C1792" t="s">
        <v>497</v>
      </c>
      <c r="E1792">
        <v>20</v>
      </c>
      <c r="F1792" s="37"/>
    </row>
    <row r="1793" spans="2:6" x14ac:dyDescent="0.25">
      <c r="B1793" s="38">
        <v>46010</v>
      </c>
      <c r="C1793" t="s">
        <v>526</v>
      </c>
      <c r="E1793">
        <v>3</v>
      </c>
      <c r="F1793" s="37"/>
    </row>
    <row r="1794" spans="2:6" x14ac:dyDescent="0.25">
      <c r="B1794" s="38">
        <v>46010</v>
      </c>
      <c r="C1794" t="s">
        <v>419</v>
      </c>
      <c r="E1794">
        <v>20</v>
      </c>
      <c r="F1794" s="37"/>
    </row>
    <row r="1795" spans="2:6" x14ac:dyDescent="0.25">
      <c r="B1795" s="38">
        <v>46010</v>
      </c>
      <c r="C1795" t="s">
        <v>588</v>
      </c>
      <c r="E1795">
        <v>10</v>
      </c>
      <c r="F1795" s="37"/>
    </row>
    <row r="1796" spans="2:6" x14ac:dyDescent="0.25">
      <c r="B1796" s="38">
        <v>46010</v>
      </c>
      <c r="C1796" t="s">
        <v>374</v>
      </c>
      <c r="E1796">
        <v>10</v>
      </c>
      <c r="F1796" s="37"/>
    </row>
    <row r="1797" spans="2:6" x14ac:dyDescent="0.25">
      <c r="B1797" s="38">
        <v>46010</v>
      </c>
      <c r="C1797" t="s">
        <v>146</v>
      </c>
      <c r="E1797">
        <v>15</v>
      </c>
      <c r="F1797" s="37"/>
    </row>
    <row r="1798" spans="2:6" x14ac:dyDescent="0.25">
      <c r="B1798" s="38">
        <v>46010</v>
      </c>
      <c r="C1798" t="s">
        <v>617</v>
      </c>
      <c r="E1798">
        <v>15</v>
      </c>
      <c r="F1798" s="37"/>
    </row>
    <row r="1799" spans="2:6" x14ac:dyDescent="0.25">
      <c r="B1799" s="38">
        <v>46010</v>
      </c>
      <c r="C1799" t="s">
        <v>619</v>
      </c>
      <c r="E1799">
        <v>15</v>
      </c>
      <c r="F1799" s="37"/>
    </row>
    <row r="1800" spans="2:6" x14ac:dyDescent="0.25">
      <c r="B1800" s="38">
        <v>46010</v>
      </c>
      <c r="C1800" t="s">
        <v>620</v>
      </c>
      <c r="E1800">
        <v>15</v>
      </c>
      <c r="F1800" s="37"/>
    </row>
    <row r="1801" spans="2:6" x14ac:dyDescent="0.25">
      <c r="B1801" s="38">
        <v>46010</v>
      </c>
      <c r="C1801" t="s">
        <v>600</v>
      </c>
      <c r="E1801">
        <v>15</v>
      </c>
      <c r="F1801" s="37"/>
    </row>
    <row r="1802" spans="2:6" x14ac:dyDescent="0.25">
      <c r="B1802" s="38">
        <v>46010</v>
      </c>
      <c r="C1802" t="s">
        <v>624</v>
      </c>
      <c r="E1802">
        <v>20</v>
      </c>
      <c r="F1802" s="37"/>
    </row>
    <row r="1803" spans="2:6" x14ac:dyDescent="0.25">
      <c r="B1803" s="38">
        <v>46010</v>
      </c>
      <c r="C1803" t="s">
        <v>616</v>
      </c>
      <c r="E1803">
        <v>7</v>
      </c>
      <c r="F1803" s="37"/>
    </row>
    <row r="1804" spans="2:6" x14ac:dyDescent="0.25">
      <c r="B1804" s="38">
        <v>46010</v>
      </c>
      <c r="C1804" t="s">
        <v>634</v>
      </c>
      <c r="E1804">
        <v>15</v>
      </c>
      <c r="F1804" s="37"/>
    </row>
    <row r="1805" spans="2:6" x14ac:dyDescent="0.25">
      <c r="B1805" s="38">
        <v>46010</v>
      </c>
      <c r="C1805" t="s">
        <v>159</v>
      </c>
      <c r="E1805">
        <v>5</v>
      </c>
      <c r="F1805" s="37"/>
    </row>
    <row r="1806" spans="2:6" x14ac:dyDescent="0.25">
      <c r="B1806" s="38">
        <v>46010</v>
      </c>
      <c r="C1806" t="s">
        <v>317</v>
      </c>
      <c r="E1806">
        <v>5</v>
      </c>
      <c r="F1806" s="37"/>
    </row>
    <row r="1807" spans="2:6" x14ac:dyDescent="0.25">
      <c r="B1807" s="38">
        <v>46010</v>
      </c>
      <c r="C1807" t="s">
        <v>166</v>
      </c>
      <c r="E1807">
        <v>5</v>
      </c>
      <c r="F1807" s="37"/>
    </row>
    <row r="1808" spans="2:6" x14ac:dyDescent="0.25">
      <c r="B1808" s="38">
        <v>46010</v>
      </c>
      <c r="C1808" t="s">
        <v>627</v>
      </c>
      <c r="E1808">
        <v>15</v>
      </c>
      <c r="F1808" s="37"/>
    </row>
    <row r="1809" spans="2:6" x14ac:dyDescent="0.25">
      <c r="B1809" s="38">
        <v>46010</v>
      </c>
      <c r="C1809" t="s">
        <v>625</v>
      </c>
      <c r="E1809">
        <v>15</v>
      </c>
      <c r="F1809" s="37"/>
    </row>
    <row r="1810" spans="2:6" x14ac:dyDescent="0.25">
      <c r="B1810" s="38">
        <v>46010</v>
      </c>
      <c r="C1810" t="s">
        <v>142</v>
      </c>
      <c r="E1810">
        <v>10</v>
      </c>
      <c r="F1810" s="37"/>
    </row>
    <row r="1811" spans="2:6" x14ac:dyDescent="0.25">
      <c r="B1811" s="38">
        <v>46010</v>
      </c>
      <c r="C1811" t="s">
        <v>139</v>
      </c>
      <c r="E1811">
        <v>20</v>
      </c>
      <c r="F1811" s="37"/>
    </row>
    <row r="1812" spans="2:6" x14ac:dyDescent="0.25">
      <c r="B1812" s="38">
        <v>46010</v>
      </c>
      <c r="C1812" t="s">
        <v>604</v>
      </c>
      <c r="E1812">
        <v>15</v>
      </c>
      <c r="F1812" s="37"/>
    </row>
    <row r="1813" spans="2:6" x14ac:dyDescent="0.25">
      <c r="B1813" s="38">
        <v>46010</v>
      </c>
      <c r="C1813" t="s">
        <v>486</v>
      </c>
      <c r="E1813">
        <v>2</v>
      </c>
      <c r="F1813" s="37"/>
    </row>
    <row r="1814" spans="2:6" x14ac:dyDescent="0.25">
      <c r="B1814" s="38">
        <v>46010</v>
      </c>
      <c r="C1814" t="s">
        <v>602</v>
      </c>
      <c r="E1814">
        <v>20</v>
      </c>
      <c r="F1814" s="37"/>
    </row>
    <row r="1815" spans="2:6" x14ac:dyDescent="0.25">
      <c r="B1815" s="38">
        <v>46010</v>
      </c>
      <c r="C1815" t="s">
        <v>252</v>
      </c>
      <c r="E1815">
        <v>3</v>
      </c>
      <c r="F1815" s="37"/>
    </row>
    <row r="1816" spans="2:6" x14ac:dyDescent="0.25">
      <c r="B1816" s="38">
        <v>46010</v>
      </c>
      <c r="C1816" t="s">
        <v>635</v>
      </c>
      <c r="E1816">
        <v>3</v>
      </c>
      <c r="F1816" s="37"/>
    </row>
    <row r="1817" spans="2:6" x14ac:dyDescent="0.25">
      <c r="B1817" s="38">
        <v>46010</v>
      </c>
      <c r="C1817" t="s">
        <v>223</v>
      </c>
      <c r="E1817">
        <v>14</v>
      </c>
      <c r="F1817" s="37"/>
    </row>
    <row r="1818" spans="2:6" x14ac:dyDescent="0.25">
      <c r="B1818" s="38">
        <v>46010</v>
      </c>
      <c r="C1818" t="s">
        <v>518</v>
      </c>
      <c r="E1818">
        <v>5</v>
      </c>
      <c r="F1818" s="37"/>
    </row>
    <row r="1819" spans="2:6" x14ac:dyDescent="0.25">
      <c r="B1819" s="38">
        <v>46010</v>
      </c>
      <c r="C1819" t="s">
        <v>520</v>
      </c>
      <c r="E1819">
        <v>5</v>
      </c>
      <c r="F1819" s="37"/>
    </row>
    <row r="1820" spans="2:6" x14ac:dyDescent="0.25">
      <c r="B1820" s="38">
        <v>46010</v>
      </c>
      <c r="C1820" t="s">
        <v>432</v>
      </c>
      <c r="E1820">
        <v>10</v>
      </c>
      <c r="F1820" s="37"/>
    </row>
    <row r="1821" spans="2:6" x14ac:dyDescent="0.25">
      <c r="B1821" s="38">
        <v>46010</v>
      </c>
      <c r="C1821" t="s">
        <v>173</v>
      </c>
      <c r="E1821">
        <v>10</v>
      </c>
      <c r="F1821" s="37"/>
    </row>
    <row r="1822" spans="2:6" x14ac:dyDescent="0.25">
      <c r="B1822" s="38">
        <v>46010</v>
      </c>
      <c r="C1822" t="s">
        <v>171</v>
      </c>
      <c r="E1822">
        <v>20</v>
      </c>
      <c r="F1822" s="37"/>
    </row>
    <row r="1823" spans="2:6" x14ac:dyDescent="0.25">
      <c r="B1823" s="38">
        <v>46010</v>
      </c>
      <c r="C1823" t="s">
        <v>579</v>
      </c>
      <c r="E1823">
        <v>10</v>
      </c>
      <c r="F1823" s="37"/>
    </row>
    <row r="1824" spans="2:6" x14ac:dyDescent="0.25">
      <c r="B1824" s="38">
        <v>46010</v>
      </c>
      <c r="C1824" t="s">
        <v>124</v>
      </c>
      <c r="E1824">
        <v>20</v>
      </c>
      <c r="F1824" s="37"/>
    </row>
    <row r="1825" spans="2:6" x14ac:dyDescent="0.25">
      <c r="B1825" s="38">
        <v>46010</v>
      </c>
      <c r="C1825" t="s">
        <v>212</v>
      </c>
      <c r="E1825">
        <v>30</v>
      </c>
      <c r="F1825" s="37"/>
    </row>
    <row r="1826" spans="2:6" x14ac:dyDescent="0.25">
      <c r="B1826" s="38">
        <v>46010</v>
      </c>
      <c r="C1826" t="s">
        <v>445</v>
      </c>
      <c r="E1826">
        <v>20</v>
      </c>
      <c r="F1826" s="37"/>
    </row>
    <row r="1827" spans="2:6" x14ac:dyDescent="0.25">
      <c r="B1827" s="38">
        <v>46010</v>
      </c>
      <c r="C1827" t="s">
        <v>443</v>
      </c>
      <c r="E1827">
        <v>20</v>
      </c>
      <c r="F1827" s="37"/>
    </row>
    <row r="1828" spans="2:6" x14ac:dyDescent="0.25">
      <c r="B1828" s="38">
        <v>46010</v>
      </c>
      <c r="C1828" t="s">
        <v>502</v>
      </c>
      <c r="E1828">
        <v>20</v>
      </c>
      <c r="F1828" s="37"/>
    </row>
    <row r="1829" spans="2:6" x14ac:dyDescent="0.25">
      <c r="B1829" s="38">
        <v>46010</v>
      </c>
      <c r="C1829" t="s">
        <v>397</v>
      </c>
      <c r="E1829">
        <v>20</v>
      </c>
      <c r="F1829" s="37"/>
    </row>
    <row r="1830" spans="2:6" x14ac:dyDescent="0.25">
      <c r="B1830" s="38">
        <v>46010</v>
      </c>
      <c r="C1830" t="s">
        <v>566</v>
      </c>
      <c r="E1830">
        <v>20</v>
      </c>
      <c r="F1830" s="37"/>
    </row>
    <row r="1831" spans="2:6" x14ac:dyDescent="0.25">
      <c r="B1831" s="38">
        <v>46010</v>
      </c>
      <c r="C1831" t="s">
        <v>606</v>
      </c>
      <c r="E1831">
        <v>10</v>
      </c>
      <c r="F1831" s="37"/>
    </row>
    <row r="1832" spans="2:6" x14ac:dyDescent="0.25">
      <c r="B1832" s="38">
        <v>46010</v>
      </c>
      <c r="C1832" t="s">
        <v>571</v>
      </c>
      <c r="E1832">
        <v>20</v>
      </c>
      <c r="F1832" s="37"/>
    </row>
    <row r="1833" spans="2:6" x14ac:dyDescent="0.25">
      <c r="B1833" s="38">
        <v>46010</v>
      </c>
      <c r="C1833" t="s">
        <v>492</v>
      </c>
      <c r="E1833">
        <v>20</v>
      </c>
      <c r="F1833" s="37"/>
    </row>
    <row r="1834" spans="2:6" x14ac:dyDescent="0.25">
      <c r="B1834" s="38">
        <v>46010</v>
      </c>
      <c r="C1834" t="s">
        <v>493</v>
      </c>
      <c r="E1834">
        <v>20</v>
      </c>
      <c r="F1834" s="37"/>
    </row>
    <row r="1835" spans="2:6" x14ac:dyDescent="0.25">
      <c r="B1835" s="38">
        <v>46010</v>
      </c>
      <c r="C1835" t="s">
        <v>400</v>
      </c>
      <c r="E1835">
        <v>5</v>
      </c>
      <c r="F1835" s="37"/>
    </row>
    <row r="1836" spans="2:6" x14ac:dyDescent="0.25">
      <c r="B1836" s="38">
        <v>46010</v>
      </c>
      <c r="C1836" t="s">
        <v>469</v>
      </c>
      <c r="E1836">
        <v>14</v>
      </c>
      <c r="F1836" s="37"/>
    </row>
    <row r="1837" spans="2:6" x14ac:dyDescent="0.25">
      <c r="B1837" s="38">
        <v>46010</v>
      </c>
      <c r="C1837" t="s">
        <v>470</v>
      </c>
      <c r="E1837">
        <v>19</v>
      </c>
      <c r="F1837" s="37"/>
    </row>
    <row r="1838" spans="2:6" x14ac:dyDescent="0.25">
      <c r="B1838" s="38">
        <v>46010</v>
      </c>
      <c r="C1838" t="s">
        <v>523</v>
      </c>
      <c r="E1838">
        <v>10</v>
      </c>
      <c r="F1838" s="37"/>
    </row>
    <row r="1839" spans="2:6" x14ac:dyDescent="0.25">
      <c r="B1839" s="38">
        <v>46010</v>
      </c>
      <c r="C1839" t="s">
        <v>525</v>
      </c>
      <c r="E1839">
        <v>43</v>
      </c>
      <c r="F1839" s="37"/>
    </row>
    <row r="1840" spans="2:6" x14ac:dyDescent="0.25">
      <c r="B1840" s="38">
        <v>46010</v>
      </c>
      <c r="C1840" t="s">
        <v>506</v>
      </c>
      <c r="E1840">
        <v>10</v>
      </c>
      <c r="F1840" s="37"/>
    </row>
    <row r="1841" spans="2:6" x14ac:dyDescent="0.25">
      <c r="B1841" s="38">
        <v>46010</v>
      </c>
      <c r="C1841" t="s">
        <v>253</v>
      </c>
      <c r="E1841">
        <v>10</v>
      </c>
      <c r="F1841" s="37"/>
    </row>
    <row r="1842" spans="2:6" x14ac:dyDescent="0.25">
      <c r="B1842" s="38">
        <v>46010</v>
      </c>
      <c r="C1842" t="s">
        <v>425</v>
      </c>
      <c r="E1842">
        <v>10</v>
      </c>
      <c r="F1842" s="37"/>
    </row>
    <row r="1843" spans="2:6" x14ac:dyDescent="0.25">
      <c r="B1843" s="38">
        <v>46010</v>
      </c>
      <c r="C1843" t="s">
        <v>603</v>
      </c>
      <c r="E1843">
        <v>20</v>
      </c>
      <c r="F1843" s="37"/>
    </row>
    <row r="1844" spans="2:6" x14ac:dyDescent="0.25">
      <c r="B1844" s="38">
        <v>46010</v>
      </c>
      <c r="C1844" t="s">
        <v>562</v>
      </c>
      <c r="E1844">
        <v>11</v>
      </c>
      <c r="F1844" s="37"/>
    </row>
    <row r="1845" spans="2:6" x14ac:dyDescent="0.25">
      <c r="B1845" s="38">
        <v>46010</v>
      </c>
      <c r="C1845" t="s">
        <v>559</v>
      </c>
      <c r="E1845">
        <v>10</v>
      </c>
      <c r="F1845" s="37"/>
    </row>
    <row r="1846" spans="2:6" x14ac:dyDescent="0.25">
      <c r="B1846" s="38">
        <v>46010</v>
      </c>
      <c r="C1846" t="s">
        <v>613</v>
      </c>
      <c r="E1846">
        <v>20</v>
      </c>
      <c r="F1846" s="37"/>
    </row>
    <row r="1847" spans="2:6" x14ac:dyDescent="0.25">
      <c r="B1847" s="38">
        <v>46010</v>
      </c>
      <c r="C1847" t="s">
        <v>491</v>
      </c>
      <c r="E1847">
        <v>20</v>
      </c>
      <c r="F1847" s="37"/>
    </row>
    <row r="1848" spans="2:6" x14ac:dyDescent="0.25">
      <c r="B1848" s="38">
        <v>46010</v>
      </c>
      <c r="C1848" t="s">
        <v>417</v>
      </c>
      <c r="E1848">
        <v>5</v>
      </c>
      <c r="F1848" s="37"/>
    </row>
    <row r="1849" spans="2:6" x14ac:dyDescent="0.25">
      <c r="B1849" s="38">
        <v>46010</v>
      </c>
      <c r="C1849" t="s">
        <v>472</v>
      </c>
      <c r="E1849">
        <v>20</v>
      </c>
      <c r="F1849" s="37"/>
    </row>
    <row r="1850" spans="2:6" x14ac:dyDescent="0.25">
      <c r="B1850" s="38">
        <v>46010</v>
      </c>
      <c r="C1850" t="s">
        <v>465</v>
      </c>
      <c r="E1850">
        <v>20</v>
      </c>
      <c r="F1850" s="37"/>
    </row>
    <row r="1851" spans="2:6" x14ac:dyDescent="0.25">
      <c r="B1851" s="38">
        <v>46010</v>
      </c>
      <c r="C1851" t="s">
        <v>545</v>
      </c>
      <c r="E1851">
        <v>10</v>
      </c>
      <c r="F1851" s="37"/>
    </row>
    <row r="1852" spans="2:6" x14ac:dyDescent="0.25">
      <c r="B1852" s="38">
        <v>46010</v>
      </c>
      <c r="C1852" t="s">
        <v>250</v>
      </c>
      <c r="E1852">
        <v>20</v>
      </c>
      <c r="F1852" s="37"/>
    </row>
    <row r="1853" spans="2:6" x14ac:dyDescent="0.25">
      <c r="B1853" s="38">
        <v>46010</v>
      </c>
      <c r="C1853" t="s">
        <v>489</v>
      </c>
      <c r="E1853">
        <v>20</v>
      </c>
      <c r="F1853" s="37"/>
    </row>
    <row r="1854" spans="2:6" x14ac:dyDescent="0.25">
      <c r="B1854" s="38">
        <v>46010</v>
      </c>
      <c r="C1854" t="s">
        <v>488</v>
      </c>
      <c r="E1854">
        <v>10</v>
      </c>
      <c r="F1854" s="37"/>
    </row>
    <row r="1855" spans="2:6" x14ac:dyDescent="0.25">
      <c r="B1855" s="38">
        <v>46010</v>
      </c>
      <c r="C1855" t="s">
        <v>237</v>
      </c>
      <c r="E1855">
        <v>10</v>
      </c>
      <c r="F1855" s="37"/>
    </row>
    <row r="1856" spans="2:6" x14ac:dyDescent="0.25">
      <c r="B1856" s="38">
        <v>46010</v>
      </c>
      <c r="C1856" t="s">
        <v>499</v>
      </c>
      <c r="E1856">
        <v>10</v>
      </c>
      <c r="F1856" s="37"/>
    </row>
    <row r="1857" spans="2:6" x14ac:dyDescent="0.25">
      <c r="B1857" s="38">
        <v>46010</v>
      </c>
      <c r="C1857" t="s">
        <v>145</v>
      </c>
      <c r="E1857">
        <v>20</v>
      </c>
      <c r="F1857" s="37"/>
    </row>
    <row r="1858" spans="2:6" x14ac:dyDescent="0.25">
      <c r="B1858" s="38">
        <v>46010</v>
      </c>
      <c r="C1858" t="s">
        <v>399</v>
      </c>
      <c r="E1858">
        <v>15</v>
      </c>
      <c r="F1858" s="37"/>
    </row>
    <row r="1859" spans="2:6" x14ac:dyDescent="0.25">
      <c r="B1859" s="38">
        <v>46010</v>
      </c>
      <c r="C1859" t="s">
        <v>614</v>
      </c>
      <c r="E1859">
        <v>10</v>
      </c>
      <c r="F1859" s="37"/>
    </row>
    <row r="1860" spans="2:6" x14ac:dyDescent="0.25">
      <c r="B1860" s="38">
        <v>46010</v>
      </c>
      <c r="C1860" t="s">
        <v>471</v>
      </c>
      <c r="E1860">
        <v>10</v>
      </c>
      <c r="F1860" s="37"/>
    </row>
    <row r="1861" spans="2:6" x14ac:dyDescent="0.25">
      <c r="B1861" s="38">
        <v>46011</v>
      </c>
      <c r="C1861" t="s">
        <v>637</v>
      </c>
      <c r="D1861">
        <v>100</v>
      </c>
      <c r="F1861" s="37" t="s">
        <v>643</v>
      </c>
    </row>
    <row r="1862" spans="2:6" x14ac:dyDescent="0.25">
      <c r="B1862" s="38">
        <v>46011</v>
      </c>
      <c r="C1862" t="s">
        <v>636</v>
      </c>
      <c r="D1862">
        <v>100</v>
      </c>
      <c r="F1862" s="37" t="s">
        <v>643</v>
      </c>
    </row>
    <row r="1863" spans="2:6" x14ac:dyDescent="0.25">
      <c r="B1863" s="38">
        <v>46011</v>
      </c>
      <c r="C1863" t="s">
        <v>639</v>
      </c>
      <c r="D1863">
        <v>50</v>
      </c>
      <c r="F1863" s="37" t="s">
        <v>643</v>
      </c>
    </row>
    <row r="1864" spans="2:6" x14ac:dyDescent="0.25">
      <c r="B1864" s="38">
        <v>46011</v>
      </c>
      <c r="C1864" t="s">
        <v>640</v>
      </c>
      <c r="D1864">
        <v>10</v>
      </c>
      <c r="F1864" s="37" t="s">
        <v>643</v>
      </c>
    </row>
    <row r="1865" spans="2:6" x14ac:dyDescent="0.25">
      <c r="B1865" s="38">
        <v>46011</v>
      </c>
      <c r="C1865" t="s">
        <v>642</v>
      </c>
      <c r="D1865">
        <v>20</v>
      </c>
      <c r="F1865" s="37" t="s">
        <v>643</v>
      </c>
    </row>
    <row r="1866" spans="2:6" x14ac:dyDescent="0.25">
      <c r="B1866" s="38">
        <v>46011</v>
      </c>
      <c r="C1866" t="s">
        <v>641</v>
      </c>
      <c r="D1866">
        <v>20</v>
      </c>
      <c r="F1866" s="37" t="s">
        <v>643</v>
      </c>
    </row>
    <row r="1867" spans="2:6" x14ac:dyDescent="0.25">
      <c r="B1867" s="38">
        <v>46011</v>
      </c>
      <c r="C1867" t="s">
        <v>640</v>
      </c>
      <c r="E1867">
        <v>5</v>
      </c>
      <c r="F1867" s="37"/>
    </row>
    <row r="1868" spans="2:6" x14ac:dyDescent="0.25">
      <c r="B1868" s="38">
        <v>46011</v>
      </c>
      <c r="C1868" t="s">
        <v>639</v>
      </c>
      <c r="E1868">
        <v>10</v>
      </c>
      <c r="F1868" s="37"/>
    </row>
    <row r="1869" spans="2:6" x14ac:dyDescent="0.25">
      <c r="B1869" s="38">
        <v>46015</v>
      </c>
      <c r="C1869" t="s">
        <v>580</v>
      </c>
      <c r="E1869">
        <v>1</v>
      </c>
      <c r="F1869" s="37" t="s">
        <v>644</v>
      </c>
    </row>
    <row r="1870" spans="2:6" x14ac:dyDescent="0.25">
      <c r="B1870" s="38">
        <v>46016</v>
      </c>
      <c r="C1870" t="s">
        <v>378</v>
      </c>
      <c r="E1870">
        <v>16</v>
      </c>
      <c r="F1870" s="37"/>
    </row>
    <row r="1871" spans="2:6" x14ac:dyDescent="0.25">
      <c r="B1871" s="38">
        <v>46017</v>
      </c>
      <c r="C1871" t="s">
        <v>489</v>
      </c>
      <c r="D1871">
        <v>100</v>
      </c>
      <c r="F1871" s="37" t="s">
        <v>413</v>
      </c>
    </row>
    <row r="1872" spans="2:6" x14ac:dyDescent="0.25">
      <c r="B1872" s="38">
        <v>46017</v>
      </c>
      <c r="C1872" t="s">
        <v>206</v>
      </c>
      <c r="D1872">
        <v>50</v>
      </c>
      <c r="F1872" s="37" t="s">
        <v>413</v>
      </c>
    </row>
    <row r="1873" spans="2:6" x14ac:dyDescent="0.25">
      <c r="B1873" s="38">
        <v>46017</v>
      </c>
      <c r="C1873" t="s">
        <v>567</v>
      </c>
      <c r="D1873">
        <v>20</v>
      </c>
      <c r="F1873" s="37" t="s">
        <v>413</v>
      </c>
    </row>
    <row r="1874" spans="2:6" x14ac:dyDescent="0.25">
      <c r="B1874" s="38">
        <v>46017</v>
      </c>
      <c r="C1874" t="s">
        <v>465</v>
      </c>
      <c r="D1874">
        <v>50</v>
      </c>
      <c r="F1874" s="37" t="s">
        <v>413</v>
      </c>
    </row>
    <row r="1875" spans="2:6" x14ac:dyDescent="0.25">
      <c r="B1875" s="38">
        <v>46017</v>
      </c>
      <c r="C1875" t="s">
        <v>466</v>
      </c>
      <c r="D1875">
        <v>20</v>
      </c>
      <c r="F1875" s="37" t="s">
        <v>413</v>
      </c>
    </row>
    <row r="1876" spans="2:6" x14ac:dyDescent="0.25">
      <c r="B1876" s="38">
        <v>46017</v>
      </c>
      <c r="C1876" t="s">
        <v>646</v>
      </c>
      <c r="D1876">
        <v>5</v>
      </c>
      <c r="F1876" s="37" t="s">
        <v>413</v>
      </c>
    </row>
    <row r="1877" spans="2:6" x14ac:dyDescent="0.25">
      <c r="B1877" s="38">
        <v>46017</v>
      </c>
      <c r="C1877" t="s">
        <v>645</v>
      </c>
      <c r="D1877">
        <v>5</v>
      </c>
      <c r="F1877" s="37" t="s">
        <v>413</v>
      </c>
    </row>
    <row r="1878" spans="2:6" x14ac:dyDescent="0.25">
      <c r="B1878" s="38">
        <v>46017</v>
      </c>
      <c r="C1878" t="s">
        <v>648</v>
      </c>
      <c r="D1878">
        <v>24</v>
      </c>
      <c r="F1878" s="37" t="s">
        <v>413</v>
      </c>
    </row>
    <row r="1879" spans="2:6" x14ac:dyDescent="0.25">
      <c r="B1879" s="38">
        <v>46017</v>
      </c>
      <c r="C1879" t="s">
        <v>545</v>
      </c>
      <c r="D1879">
        <v>20</v>
      </c>
      <c r="F1879" s="37" t="s">
        <v>413</v>
      </c>
    </row>
    <row r="1880" spans="2:6" x14ac:dyDescent="0.25">
      <c r="B1880" s="38">
        <v>46017</v>
      </c>
      <c r="C1880" t="s">
        <v>237</v>
      </c>
      <c r="D1880">
        <v>30</v>
      </c>
      <c r="F1880" s="37" t="s">
        <v>413</v>
      </c>
    </row>
    <row r="1881" spans="2:6" x14ac:dyDescent="0.25">
      <c r="B1881" s="38">
        <v>46017</v>
      </c>
      <c r="C1881" t="s">
        <v>469</v>
      </c>
      <c r="D1881">
        <v>30</v>
      </c>
      <c r="F1881" s="37" t="s">
        <v>413</v>
      </c>
    </row>
    <row r="1882" spans="2:6" x14ac:dyDescent="0.25">
      <c r="B1882" s="38">
        <v>46017</v>
      </c>
      <c r="C1882" t="s">
        <v>470</v>
      </c>
      <c r="D1882">
        <v>30</v>
      </c>
      <c r="F1882" s="37" t="s">
        <v>413</v>
      </c>
    </row>
    <row r="1883" spans="2:6" x14ac:dyDescent="0.25">
      <c r="B1883" s="38">
        <v>46017</v>
      </c>
      <c r="C1883" t="s">
        <v>533</v>
      </c>
      <c r="D1883">
        <v>30</v>
      </c>
      <c r="F1883" s="37" t="s">
        <v>413</v>
      </c>
    </row>
    <row r="1884" spans="2:6" x14ac:dyDescent="0.25">
      <c r="B1884" s="38">
        <v>46017</v>
      </c>
      <c r="C1884" t="s">
        <v>527</v>
      </c>
      <c r="D1884">
        <v>60</v>
      </c>
      <c r="F1884" s="37" t="s">
        <v>413</v>
      </c>
    </row>
    <row r="1885" spans="2:6" x14ac:dyDescent="0.25">
      <c r="B1885" s="38">
        <v>46017</v>
      </c>
      <c r="C1885" t="s">
        <v>606</v>
      </c>
      <c r="D1885">
        <v>10</v>
      </c>
      <c r="F1885" s="37" t="s">
        <v>413</v>
      </c>
    </row>
    <row r="1886" spans="2:6" x14ac:dyDescent="0.25">
      <c r="B1886" s="38">
        <v>46017</v>
      </c>
      <c r="C1886" t="s">
        <v>472</v>
      </c>
      <c r="D1886">
        <v>100</v>
      </c>
      <c r="F1886" s="37" t="s">
        <v>413</v>
      </c>
    </row>
    <row r="1887" spans="2:6" x14ac:dyDescent="0.25">
      <c r="B1887" s="38">
        <v>46017</v>
      </c>
      <c r="C1887" t="s">
        <v>492</v>
      </c>
      <c r="D1887">
        <v>30</v>
      </c>
      <c r="F1887" s="37" t="s">
        <v>413</v>
      </c>
    </row>
    <row r="1888" spans="2:6" x14ac:dyDescent="0.25">
      <c r="B1888" s="38">
        <v>46017</v>
      </c>
      <c r="C1888" t="s">
        <v>471</v>
      </c>
      <c r="D1888">
        <v>30</v>
      </c>
      <c r="F1888" s="37" t="s">
        <v>413</v>
      </c>
    </row>
    <row r="1889" spans="2:6" x14ac:dyDescent="0.25">
      <c r="B1889" s="38">
        <v>46017</v>
      </c>
      <c r="C1889" t="s">
        <v>647</v>
      </c>
      <c r="D1889">
        <v>30</v>
      </c>
      <c r="F1889" s="37" t="s">
        <v>413</v>
      </c>
    </row>
    <row r="1890" spans="2:6" x14ac:dyDescent="0.25">
      <c r="B1890" s="38">
        <v>46017</v>
      </c>
      <c r="C1890" t="s">
        <v>571</v>
      </c>
      <c r="D1890">
        <v>50</v>
      </c>
      <c r="F1890" s="37" t="s">
        <v>413</v>
      </c>
    </row>
    <row r="1891" spans="2:6" x14ac:dyDescent="0.25">
      <c r="B1891" s="38">
        <v>46017</v>
      </c>
      <c r="C1891" t="s">
        <v>493</v>
      </c>
      <c r="D1891">
        <v>30</v>
      </c>
      <c r="F1891" s="37" t="s">
        <v>413</v>
      </c>
    </row>
    <row r="1892" spans="2:6" x14ac:dyDescent="0.25">
      <c r="B1892" s="38">
        <v>46017</v>
      </c>
      <c r="C1892" t="s">
        <v>544</v>
      </c>
      <c r="D1892">
        <v>50</v>
      </c>
      <c r="F1892" s="37" t="s">
        <v>413</v>
      </c>
    </row>
    <row r="1893" spans="2:6" x14ac:dyDescent="0.25">
      <c r="B1893" s="38">
        <v>46017</v>
      </c>
      <c r="C1893" t="s">
        <v>473</v>
      </c>
      <c r="D1893">
        <v>20</v>
      </c>
      <c r="F1893" s="37" t="s">
        <v>413</v>
      </c>
    </row>
    <row r="1894" spans="2:6" x14ac:dyDescent="0.25">
      <c r="B1894" s="38">
        <v>46017</v>
      </c>
      <c r="C1894" t="s">
        <v>496</v>
      </c>
      <c r="D1894">
        <v>20</v>
      </c>
      <c r="F1894" s="37" t="s">
        <v>413</v>
      </c>
    </row>
    <row r="1895" spans="2:6" x14ac:dyDescent="0.25">
      <c r="B1895" s="38">
        <v>46017</v>
      </c>
      <c r="C1895" t="s">
        <v>468</v>
      </c>
      <c r="D1895">
        <v>30</v>
      </c>
      <c r="F1895" s="37" t="s">
        <v>413</v>
      </c>
    </row>
    <row r="1896" spans="2:6" x14ac:dyDescent="0.25">
      <c r="B1896" s="38">
        <v>46017</v>
      </c>
      <c r="C1896" t="s">
        <v>416</v>
      </c>
      <c r="D1896">
        <v>10</v>
      </c>
      <c r="F1896" s="37" t="s">
        <v>413</v>
      </c>
    </row>
    <row r="1897" spans="2:6" x14ac:dyDescent="0.25">
      <c r="B1897" s="38">
        <v>46017</v>
      </c>
      <c r="C1897" t="s">
        <v>608</v>
      </c>
      <c r="D1897">
        <v>20</v>
      </c>
      <c r="F1897" s="37" t="s">
        <v>413</v>
      </c>
    </row>
    <row r="1898" spans="2:6" x14ac:dyDescent="0.25">
      <c r="B1898" s="38">
        <v>46017</v>
      </c>
      <c r="C1898" t="s">
        <v>610</v>
      </c>
      <c r="D1898">
        <v>20</v>
      </c>
      <c r="F1898" s="37" t="s">
        <v>413</v>
      </c>
    </row>
    <row r="1899" spans="2:6" x14ac:dyDescent="0.25">
      <c r="B1899" s="38">
        <v>46017</v>
      </c>
      <c r="C1899" t="s">
        <v>645</v>
      </c>
      <c r="E1899">
        <v>2</v>
      </c>
      <c r="F1899" s="37"/>
    </row>
    <row r="1900" spans="2:6" x14ac:dyDescent="0.25">
      <c r="B1900" s="38">
        <v>46017</v>
      </c>
      <c r="C1900" t="s">
        <v>646</v>
      </c>
      <c r="E1900">
        <v>2</v>
      </c>
      <c r="F1900" s="37"/>
    </row>
    <row r="1901" spans="2:6" x14ac:dyDescent="0.25">
      <c r="B1901" s="38">
        <v>46017</v>
      </c>
      <c r="C1901" t="s">
        <v>496</v>
      </c>
      <c r="E1901">
        <v>10</v>
      </c>
      <c r="F1901" s="37"/>
    </row>
    <row r="1902" spans="2:6" x14ac:dyDescent="0.25">
      <c r="B1902" s="38">
        <v>46017</v>
      </c>
      <c r="C1902" t="s">
        <v>650</v>
      </c>
      <c r="D1902">
        <v>20</v>
      </c>
      <c r="F1902" s="37" t="s">
        <v>643</v>
      </c>
    </row>
    <row r="1903" spans="2:6" x14ac:dyDescent="0.25">
      <c r="B1903" s="38">
        <v>46017</v>
      </c>
      <c r="C1903" t="s">
        <v>641</v>
      </c>
      <c r="E1903">
        <v>20</v>
      </c>
      <c r="F1903" s="37" t="s">
        <v>651</v>
      </c>
    </row>
    <row r="1904" spans="2:6" x14ac:dyDescent="0.25">
      <c r="B1904" s="38">
        <v>46018</v>
      </c>
      <c r="C1904" t="s">
        <v>621</v>
      </c>
      <c r="E1904">
        <v>5</v>
      </c>
      <c r="F1904" s="37"/>
    </row>
    <row r="1905" spans="2:6" x14ac:dyDescent="0.25">
      <c r="B1905" s="38">
        <v>46018</v>
      </c>
      <c r="C1905" t="s">
        <v>566</v>
      </c>
      <c r="D1905">
        <v>60</v>
      </c>
      <c r="F1905" s="37"/>
    </row>
    <row r="1906" spans="2:6" x14ac:dyDescent="0.25">
      <c r="B1906" s="38">
        <v>46018</v>
      </c>
      <c r="C1906" t="s">
        <v>566</v>
      </c>
      <c r="E1906">
        <v>2</v>
      </c>
      <c r="F1906" s="37" t="s">
        <v>644</v>
      </c>
    </row>
    <row r="1907" spans="2:6" x14ac:dyDescent="0.25">
      <c r="B1907" s="38">
        <v>46020</v>
      </c>
      <c r="C1907" t="s">
        <v>599</v>
      </c>
      <c r="E1907">
        <v>20</v>
      </c>
      <c r="F1907" s="37"/>
    </row>
    <row r="1908" spans="2:6" x14ac:dyDescent="0.25">
      <c r="B1908" s="38">
        <v>46021</v>
      </c>
      <c r="C1908" t="s">
        <v>593</v>
      </c>
      <c r="E1908">
        <v>10</v>
      </c>
      <c r="F1908" s="37"/>
    </row>
    <row r="1909" spans="2:6" x14ac:dyDescent="0.25">
      <c r="B1909" s="38">
        <v>46021</v>
      </c>
      <c r="C1909" t="s">
        <v>527</v>
      </c>
      <c r="E1909">
        <v>10</v>
      </c>
      <c r="F1909" s="37"/>
    </row>
    <row r="1910" spans="2:6" x14ac:dyDescent="0.25">
      <c r="B1910" s="38">
        <v>46021</v>
      </c>
      <c r="C1910" t="s">
        <v>636</v>
      </c>
      <c r="E1910">
        <v>10</v>
      </c>
      <c r="F1910" s="37"/>
    </row>
    <row r="1911" spans="2:6" x14ac:dyDescent="0.25">
      <c r="B1911" s="38">
        <v>46021</v>
      </c>
      <c r="C1911" t="s">
        <v>139</v>
      </c>
      <c r="E1911">
        <v>15</v>
      </c>
      <c r="F1911" s="37"/>
    </row>
    <row r="1912" spans="2:6" x14ac:dyDescent="0.25">
      <c r="B1912" s="38">
        <v>46021</v>
      </c>
      <c r="C1912" t="s">
        <v>155</v>
      </c>
      <c r="E1912">
        <v>15</v>
      </c>
      <c r="F1912" s="37"/>
    </row>
    <row r="1913" spans="2:6" x14ac:dyDescent="0.25">
      <c r="B1913" s="38">
        <v>46021</v>
      </c>
      <c r="C1913" t="s">
        <v>599</v>
      </c>
      <c r="E1913">
        <v>20</v>
      </c>
      <c r="F1913" s="37"/>
    </row>
    <row r="1914" spans="2:6" x14ac:dyDescent="0.25">
      <c r="B1914" s="38">
        <v>46021</v>
      </c>
      <c r="C1914" t="s">
        <v>577</v>
      </c>
      <c r="E1914">
        <v>1</v>
      </c>
      <c r="F1914" s="37"/>
    </row>
    <row r="1915" spans="2:6" x14ac:dyDescent="0.25">
      <c r="B1915" s="38">
        <v>46021</v>
      </c>
      <c r="C1915" t="s">
        <v>623</v>
      </c>
      <c r="E1915">
        <v>1</v>
      </c>
      <c r="F1915" s="37"/>
    </row>
    <row r="1916" spans="2:6" x14ac:dyDescent="0.25">
      <c r="B1916" s="38">
        <v>46022</v>
      </c>
      <c r="C1916" s="37" t="s">
        <v>434</v>
      </c>
      <c r="D1916">
        <v>50</v>
      </c>
      <c r="F1916" s="37" t="s">
        <v>653</v>
      </c>
    </row>
    <row r="1917" spans="2:6" x14ac:dyDescent="0.25">
      <c r="B1917" s="38">
        <v>46022</v>
      </c>
      <c r="C1917" s="37" t="s">
        <v>652</v>
      </c>
      <c r="D1917">
        <v>50</v>
      </c>
      <c r="F1917" s="37" t="s">
        <v>653</v>
      </c>
    </row>
    <row r="1918" spans="2:6" x14ac:dyDescent="0.25">
      <c r="B1918" s="38">
        <v>46022</v>
      </c>
      <c r="C1918" s="37" t="s">
        <v>434</v>
      </c>
      <c r="E1918">
        <v>5</v>
      </c>
      <c r="F1918" s="37"/>
    </row>
    <row r="1919" spans="2:6" x14ac:dyDescent="0.25">
      <c r="B1919" s="38">
        <v>46022</v>
      </c>
      <c r="C1919" s="37" t="s">
        <v>652</v>
      </c>
      <c r="E1919">
        <v>5</v>
      </c>
      <c r="F1919" s="37"/>
    </row>
    <row r="1920" spans="2:6" x14ac:dyDescent="0.25">
      <c r="B1920" s="38">
        <v>46022</v>
      </c>
      <c r="C1920" s="37" t="s">
        <v>159</v>
      </c>
      <c r="E1920">
        <v>5</v>
      </c>
      <c r="F1920" s="37"/>
    </row>
    <row r="1921" spans="2:6" x14ac:dyDescent="0.25">
      <c r="B1921" s="38">
        <v>46025</v>
      </c>
      <c r="C1921" s="37" t="s">
        <v>557</v>
      </c>
      <c r="E1921">
        <v>5</v>
      </c>
      <c r="F1921" s="37"/>
    </row>
    <row r="1922" spans="2:6" x14ac:dyDescent="0.25">
      <c r="B1922" s="38">
        <v>46025</v>
      </c>
      <c r="C1922" s="37" t="s">
        <v>492</v>
      </c>
      <c r="E1922">
        <v>15</v>
      </c>
      <c r="F1922" s="37"/>
    </row>
    <row r="1923" spans="2:6" x14ac:dyDescent="0.25">
      <c r="B1923" s="38">
        <v>46025</v>
      </c>
      <c r="C1923" s="37" t="s">
        <v>599</v>
      </c>
      <c r="E1923">
        <v>30</v>
      </c>
      <c r="F1923" s="37"/>
    </row>
    <row r="1924" spans="2:6" x14ac:dyDescent="0.25">
      <c r="B1924" s="38">
        <v>46025</v>
      </c>
      <c r="C1924" s="37" t="s">
        <v>566</v>
      </c>
      <c r="E1924">
        <v>40</v>
      </c>
      <c r="F1924" s="37"/>
    </row>
    <row r="1925" spans="2:6" x14ac:dyDescent="0.25">
      <c r="B1925" s="38">
        <v>46025</v>
      </c>
      <c r="C1925" s="37" t="s">
        <v>632</v>
      </c>
      <c r="E1925">
        <v>1</v>
      </c>
      <c r="F1925" s="37"/>
    </row>
    <row r="1926" spans="2:6" x14ac:dyDescent="0.25">
      <c r="B1926" s="38">
        <v>46025</v>
      </c>
      <c r="C1926" s="37" t="s">
        <v>530</v>
      </c>
      <c r="E1926">
        <v>1</v>
      </c>
      <c r="F1926" s="37"/>
    </row>
    <row r="1927" spans="2:6" x14ac:dyDescent="0.25">
      <c r="B1927" s="38">
        <v>46027</v>
      </c>
      <c r="C1927" s="37" t="s">
        <v>204</v>
      </c>
      <c r="E1927">
        <v>1</v>
      </c>
      <c r="F1927" s="37" t="s">
        <v>462</v>
      </c>
    </row>
    <row r="1928" spans="2:6" x14ac:dyDescent="0.25">
      <c r="B1928" s="38">
        <v>46028</v>
      </c>
      <c r="C1928" s="37" t="s">
        <v>637</v>
      </c>
      <c r="E1928">
        <v>15</v>
      </c>
      <c r="F1928" s="37"/>
    </row>
    <row r="1929" spans="2:6" x14ac:dyDescent="0.25">
      <c r="B1929" s="38">
        <v>46029</v>
      </c>
      <c r="C1929" s="37" t="s">
        <v>489</v>
      </c>
      <c r="E1929">
        <v>10</v>
      </c>
      <c r="F1929" s="37"/>
    </row>
    <row r="1930" spans="2:6" x14ac:dyDescent="0.25">
      <c r="B1930" s="38">
        <v>46030</v>
      </c>
      <c r="C1930" s="37" t="s">
        <v>580</v>
      </c>
      <c r="E1930">
        <v>9</v>
      </c>
      <c r="F1930" s="37"/>
    </row>
    <row r="1931" spans="2:6" x14ac:dyDescent="0.25">
      <c r="B1931" s="38">
        <v>46031</v>
      </c>
      <c r="C1931" s="37" t="s">
        <v>625</v>
      </c>
      <c r="E1931">
        <v>6</v>
      </c>
      <c r="F1931" s="37"/>
    </row>
    <row r="1932" spans="2:6" x14ac:dyDescent="0.25">
      <c r="B1932" s="38">
        <v>46032</v>
      </c>
      <c r="C1932" s="37" t="s">
        <v>146</v>
      </c>
      <c r="E1932">
        <v>5</v>
      </c>
      <c r="F1932" s="37"/>
    </row>
    <row r="1933" spans="2:6" x14ac:dyDescent="0.25">
      <c r="B1933" s="38">
        <v>46033</v>
      </c>
      <c r="C1933" s="37" t="s">
        <v>614</v>
      </c>
      <c r="E1933">
        <v>10</v>
      </c>
      <c r="F1933" s="37"/>
    </row>
    <row r="1934" spans="2:6" x14ac:dyDescent="0.25">
      <c r="B1934" s="38">
        <v>46034</v>
      </c>
      <c r="C1934" s="37" t="s">
        <v>499</v>
      </c>
      <c r="E1934">
        <v>15</v>
      </c>
      <c r="F1934" s="37"/>
    </row>
    <row r="1935" spans="2:6" x14ac:dyDescent="0.25">
      <c r="B1935" s="38">
        <v>46035</v>
      </c>
      <c r="C1935" s="37" t="s">
        <v>416</v>
      </c>
      <c r="E1935">
        <v>5</v>
      </c>
      <c r="F1935" s="37"/>
    </row>
    <row r="1936" spans="2:6" x14ac:dyDescent="0.25">
      <c r="B1936" s="38">
        <v>46036</v>
      </c>
      <c r="C1936" s="37" t="s">
        <v>471</v>
      </c>
      <c r="E1936">
        <v>10</v>
      </c>
      <c r="F1936" s="37"/>
    </row>
    <row r="1937" spans="2:6" x14ac:dyDescent="0.25">
      <c r="B1937" s="38">
        <v>46037</v>
      </c>
      <c r="C1937" s="37" t="s">
        <v>624</v>
      </c>
      <c r="E1937">
        <v>15</v>
      </c>
      <c r="F1937" s="37"/>
    </row>
    <row r="1938" spans="2:6" x14ac:dyDescent="0.25">
      <c r="B1938" s="38">
        <v>46030</v>
      </c>
      <c r="C1938" s="37" t="s">
        <v>445</v>
      </c>
      <c r="E1938">
        <v>10</v>
      </c>
      <c r="F1938" s="37"/>
    </row>
    <row r="1939" spans="2:6" x14ac:dyDescent="0.25">
      <c r="B1939" s="38">
        <v>46030</v>
      </c>
      <c r="C1939" s="37" t="s">
        <v>124</v>
      </c>
      <c r="E1939">
        <v>20</v>
      </c>
      <c r="F1939" s="37"/>
    </row>
    <row r="1940" spans="2:6" x14ac:dyDescent="0.25">
      <c r="B1940" s="38">
        <v>46030</v>
      </c>
      <c r="C1940" s="37" t="s">
        <v>599</v>
      </c>
      <c r="E1940">
        <v>30</v>
      </c>
      <c r="F1940" s="37"/>
    </row>
    <row r="1941" spans="2:6" x14ac:dyDescent="0.25">
      <c r="B1941" s="38">
        <v>46030</v>
      </c>
      <c r="C1941" s="37" t="s">
        <v>452</v>
      </c>
      <c r="E1941">
        <v>10</v>
      </c>
      <c r="F1941" s="37"/>
    </row>
    <row r="1942" spans="2:6" x14ac:dyDescent="0.25">
      <c r="B1942" s="38">
        <v>46030</v>
      </c>
      <c r="C1942" s="37" t="s">
        <v>569</v>
      </c>
      <c r="E1942">
        <v>10</v>
      </c>
      <c r="F1942" s="37"/>
    </row>
    <row r="1943" spans="2:6" x14ac:dyDescent="0.25">
      <c r="B1943" s="38">
        <v>46030</v>
      </c>
      <c r="C1943" s="37" t="s">
        <v>592</v>
      </c>
      <c r="E1943">
        <v>10</v>
      </c>
      <c r="F1943" s="37"/>
    </row>
    <row r="1944" spans="2:6" x14ac:dyDescent="0.25">
      <c r="B1944" s="38">
        <v>46030</v>
      </c>
      <c r="C1944" s="37" t="s">
        <v>373</v>
      </c>
      <c r="E1944">
        <v>12</v>
      </c>
      <c r="F1944" s="37"/>
    </row>
    <row r="1945" spans="2:6" x14ac:dyDescent="0.25">
      <c r="B1945" s="38">
        <v>46030</v>
      </c>
      <c r="C1945" s="37" t="s">
        <v>135</v>
      </c>
      <c r="E1945">
        <v>10</v>
      </c>
      <c r="F1945" s="37"/>
    </row>
    <row r="1946" spans="2:6" x14ac:dyDescent="0.25">
      <c r="B1946" s="38">
        <v>46030</v>
      </c>
      <c r="C1946" s="37" t="s">
        <v>525</v>
      </c>
      <c r="E1946">
        <v>20</v>
      </c>
      <c r="F1946" s="37"/>
    </row>
    <row r="1947" spans="2:6" x14ac:dyDescent="0.25">
      <c r="B1947" s="38">
        <v>46030</v>
      </c>
      <c r="C1947" s="37" t="s">
        <v>497</v>
      </c>
      <c r="E1947">
        <v>20</v>
      </c>
      <c r="F1947" s="37"/>
    </row>
    <row r="1948" spans="2:6" x14ac:dyDescent="0.25">
      <c r="B1948" s="38">
        <v>46030</v>
      </c>
      <c r="C1948" s="37" t="s">
        <v>491</v>
      </c>
      <c r="E1948">
        <v>10</v>
      </c>
      <c r="F1948" s="37"/>
    </row>
    <row r="1949" spans="2:6" x14ac:dyDescent="0.25">
      <c r="B1949" s="38">
        <v>46030</v>
      </c>
      <c r="C1949" s="37" t="s">
        <v>468</v>
      </c>
      <c r="E1949">
        <v>10</v>
      </c>
      <c r="F1949" s="37"/>
    </row>
    <row r="1950" spans="2:6" x14ac:dyDescent="0.25">
      <c r="B1950" s="38">
        <v>46030</v>
      </c>
      <c r="C1950" s="37" t="s">
        <v>636</v>
      </c>
      <c r="E1950">
        <v>10</v>
      </c>
      <c r="F1950" s="37"/>
    </row>
    <row r="1951" spans="2:6" x14ac:dyDescent="0.25">
      <c r="B1951" s="38">
        <v>46030</v>
      </c>
      <c r="C1951" s="37" t="s">
        <v>647</v>
      </c>
      <c r="E1951">
        <v>10</v>
      </c>
      <c r="F1951" s="37"/>
    </row>
    <row r="1952" spans="2:6" x14ac:dyDescent="0.25">
      <c r="B1952" s="38">
        <v>46030</v>
      </c>
      <c r="C1952" s="37" t="s">
        <v>608</v>
      </c>
      <c r="E1952">
        <v>5</v>
      </c>
      <c r="F1952" s="37"/>
    </row>
    <row r="1953" spans="2:6" x14ac:dyDescent="0.25">
      <c r="B1953" s="38">
        <v>46030</v>
      </c>
      <c r="C1953" s="37" t="s">
        <v>610</v>
      </c>
      <c r="E1953">
        <v>5</v>
      </c>
      <c r="F1953" s="37"/>
    </row>
    <row r="1954" spans="2:6" x14ac:dyDescent="0.25">
      <c r="B1954" s="38">
        <v>46030</v>
      </c>
      <c r="C1954" s="37" t="s">
        <v>523</v>
      </c>
      <c r="E1954">
        <v>10</v>
      </c>
      <c r="F1954" s="37"/>
    </row>
    <row r="1955" spans="2:6" x14ac:dyDescent="0.25">
      <c r="B1955" s="38">
        <v>46030</v>
      </c>
      <c r="C1955" s="37" t="s">
        <v>533</v>
      </c>
      <c r="E1955">
        <v>10</v>
      </c>
      <c r="F1955" s="37"/>
    </row>
    <row r="1956" spans="2:6" x14ac:dyDescent="0.25">
      <c r="B1956" s="38">
        <v>46030</v>
      </c>
      <c r="C1956" s="37" t="s">
        <v>492</v>
      </c>
      <c r="E1956">
        <v>10</v>
      </c>
      <c r="F1956" s="37"/>
    </row>
    <row r="1957" spans="2:6" x14ac:dyDescent="0.25">
      <c r="B1957" s="38">
        <v>46032</v>
      </c>
      <c r="C1957" s="37" t="s">
        <v>159</v>
      </c>
      <c r="E1957">
        <v>5</v>
      </c>
      <c r="F1957" s="37"/>
    </row>
    <row r="1958" spans="2:6" x14ac:dyDescent="0.25">
      <c r="B1958" s="38">
        <v>46034</v>
      </c>
      <c r="C1958" s="37" t="s">
        <v>588</v>
      </c>
      <c r="D1958">
        <v>50</v>
      </c>
      <c r="F1958" s="37" t="s">
        <v>509</v>
      </c>
    </row>
    <row r="1959" spans="2:6" x14ac:dyDescent="0.25">
      <c r="B1959" s="38">
        <v>46034</v>
      </c>
      <c r="C1959" s="37" t="s">
        <v>593</v>
      </c>
      <c r="D1959">
        <v>50</v>
      </c>
      <c r="F1959" s="37"/>
    </row>
    <row r="1960" spans="2:6" x14ac:dyDescent="0.25">
      <c r="B1960" s="38">
        <v>46034</v>
      </c>
      <c r="C1960" s="37" t="s">
        <v>592</v>
      </c>
      <c r="D1960">
        <v>50</v>
      </c>
      <c r="F1960" s="37"/>
    </row>
    <row r="1961" spans="2:6" x14ac:dyDescent="0.25">
      <c r="B1961" s="38">
        <v>46034</v>
      </c>
      <c r="C1961" s="37" t="s">
        <v>486</v>
      </c>
      <c r="D1961">
        <v>2</v>
      </c>
      <c r="F1961" s="37"/>
    </row>
    <row r="1962" spans="2:6" x14ac:dyDescent="0.25">
      <c r="B1962" s="38">
        <v>46034</v>
      </c>
      <c r="C1962" s="37" t="s">
        <v>588</v>
      </c>
      <c r="E1962">
        <v>10</v>
      </c>
      <c r="F1962" s="37"/>
    </row>
    <row r="1963" spans="2:6" x14ac:dyDescent="0.25">
      <c r="B1963" s="38">
        <v>46034</v>
      </c>
      <c r="C1963" s="37" t="s">
        <v>654</v>
      </c>
      <c r="D1963">
        <v>10</v>
      </c>
      <c r="F1963" s="37" t="s">
        <v>413</v>
      </c>
    </row>
    <row r="1964" spans="2:6" x14ac:dyDescent="0.25">
      <c r="B1964" s="38">
        <v>46034</v>
      </c>
      <c r="C1964" s="37" t="s">
        <v>569</v>
      </c>
      <c r="D1964">
        <v>30</v>
      </c>
      <c r="F1964" s="37" t="s">
        <v>413</v>
      </c>
    </row>
    <row r="1965" spans="2:6" x14ac:dyDescent="0.25">
      <c r="B1965" s="38">
        <v>46034</v>
      </c>
      <c r="C1965" s="37" t="s">
        <v>471</v>
      </c>
      <c r="D1965">
        <v>20</v>
      </c>
      <c r="F1965" s="37" t="s">
        <v>413</v>
      </c>
    </row>
    <row r="1966" spans="2:6" x14ac:dyDescent="0.25">
      <c r="B1966" s="38">
        <v>46034</v>
      </c>
      <c r="C1966" s="37" t="s">
        <v>468</v>
      </c>
      <c r="D1966">
        <v>20</v>
      </c>
      <c r="F1966" s="37" t="s">
        <v>413</v>
      </c>
    </row>
    <row r="1967" spans="2:6" x14ac:dyDescent="0.25">
      <c r="B1967" s="38">
        <v>46034</v>
      </c>
      <c r="C1967" s="37" t="s">
        <v>573</v>
      </c>
      <c r="D1967">
        <v>20</v>
      </c>
      <c r="F1967" s="37" t="s">
        <v>413</v>
      </c>
    </row>
    <row r="1968" spans="2:6" x14ac:dyDescent="0.25">
      <c r="B1968" s="38">
        <v>46035</v>
      </c>
      <c r="C1968" s="37" t="s">
        <v>552</v>
      </c>
      <c r="E1968">
        <v>20</v>
      </c>
      <c r="F1968" s="37"/>
    </row>
    <row r="1969" spans="2:6" x14ac:dyDescent="0.25">
      <c r="B1969" s="38">
        <v>46035</v>
      </c>
      <c r="C1969" s="37" t="s">
        <v>419</v>
      </c>
      <c r="E1969">
        <v>20</v>
      </c>
      <c r="F1969" s="37"/>
    </row>
    <row r="1970" spans="2:6" x14ac:dyDescent="0.25">
      <c r="B1970" s="38">
        <v>46035</v>
      </c>
      <c r="C1970" s="37" t="s">
        <v>155</v>
      </c>
      <c r="E1970">
        <v>15</v>
      </c>
      <c r="F1970" s="37"/>
    </row>
    <row r="1971" spans="2:6" x14ac:dyDescent="0.25">
      <c r="B1971" s="38">
        <v>46035</v>
      </c>
      <c r="C1971" s="37" t="s">
        <v>421</v>
      </c>
      <c r="E1971">
        <v>10</v>
      </c>
      <c r="F1971" s="37"/>
    </row>
    <row r="1972" spans="2:6" x14ac:dyDescent="0.25">
      <c r="B1972" s="38">
        <v>46035</v>
      </c>
      <c r="C1972" s="37" t="s">
        <v>142</v>
      </c>
      <c r="E1972">
        <v>15</v>
      </c>
      <c r="F1972" s="37"/>
    </row>
    <row r="1973" spans="2:6" x14ac:dyDescent="0.25">
      <c r="B1973" s="38">
        <v>46035</v>
      </c>
      <c r="C1973" s="37" t="s">
        <v>139</v>
      </c>
      <c r="E1973">
        <v>10</v>
      </c>
      <c r="F1973" s="37"/>
    </row>
    <row r="1974" spans="2:6" x14ac:dyDescent="0.25">
      <c r="B1974" s="38">
        <v>46035</v>
      </c>
      <c r="C1974" s="37" t="s">
        <v>140</v>
      </c>
      <c r="E1974">
        <v>15</v>
      </c>
      <c r="F1974" s="37"/>
    </row>
    <row r="1975" spans="2:6" x14ac:dyDescent="0.25">
      <c r="B1975" s="38">
        <v>46035</v>
      </c>
      <c r="C1975" s="37" t="s">
        <v>596</v>
      </c>
      <c r="E1975">
        <v>10</v>
      </c>
      <c r="F1975" s="37"/>
    </row>
    <row r="1976" spans="2:6" x14ac:dyDescent="0.25">
      <c r="B1976" s="38">
        <v>46035</v>
      </c>
      <c r="C1976" s="37" t="s">
        <v>171</v>
      </c>
      <c r="E1976">
        <v>15</v>
      </c>
      <c r="F1976" s="37"/>
    </row>
    <row r="1977" spans="2:6" x14ac:dyDescent="0.25">
      <c r="B1977" s="38">
        <v>46035</v>
      </c>
      <c r="C1977" s="37" t="s">
        <v>550</v>
      </c>
      <c r="E1977">
        <v>10</v>
      </c>
      <c r="F1977" s="37"/>
    </row>
    <row r="1978" spans="2:6" x14ac:dyDescent="0.25">
      <c r="B1978" s="38">
        <v>46035</v>
      </c>
      <c r="C1978" s="37" t="s">
        <v>250</v>
      </c>
      <c r="E1978">
        <v>20</v>
      </c>
      <c r="F1978" s="37"/>
    </row>
    <row r="1979" spans="2:6" x14ac:dyDescent="0.25">
      <c r="B1979" s="38">
        <v>46035</v>
      </c>
      <c r="C1979" s="37" t="s">
        <v>530</v>
      </c>
      <c r="E1979">
        <v>1</v>
      </c>
      <c r="F1979" s="37"/>
    </row>
    <row r="1980" spans="2:6" x14ac:dyDescent="0.25">
      <c r="B1980" s="38">
        <v>46035</v>
      </c>
      <c r="C1980" s="37" t="s">
        <v>465</v>
      </c>
      <c r="E1980">
        <v>10</v>
      </c>
      <c r="F1980" s="37"/>
    </row>
    <row r="1981" spans="2:6" x14ac:dyDescent="0.25">
      <c r="B1981" s="38">
        <v>46035</v>
      </c>
      <c r="C1981" s="37" t="s">
        <v>593</v>
      </c>
      <c r="E1981">
        <v>10</v>
      </c>
      <c r="F1981" s="37"/>
    </row>
    <row r="1982" spans="2:6" x14ac:dyDescent="0.25">
      <c r="B1982" s="38">
        <v>46035</v>
      </c>
      <c r="C1982" s="37" t="s">
        <v>206</v>
      </c>
      <c r="E1982">
        <v>5</v>
      </c>
      <c r="F1982" s="37"/>
    </row>
    <row r="1983" spans="2:6" x14ac:dyDescent="0.25">
      <c r="B1983" s="38">
        <v>46035</v>
      </c>
      <c r="C1983" s="37" t="s">
        <v>654</v>
      </c>
      <c r="E1983">
        <v>5</v>
      </c>
      <c r="F1983" s="37"/>
    </row>
    <row r="1984" spans="2:6" x14ac:dyDescent="0.25">
      <c r="B1984" s="38">
        <v>46035</v>
      </c>
      <c r="C1984" s="37" t="s">
        <v>624</v>
      </c>
      <c r="D1984">
        <v>63</v>
      </c>
      <c r="F1984" s="37" t="s">
        <v>655</v>
      </c>
    </row>
    <row r="1985" spans="2:6" x14ac:dyDescent="0.25">
      <c r="B1985" s="38">
        <v>46039</v>
      </c>
      <c r="C1985" s="37" t="s">
        <v>625</v>
      </c>
      <c r="E1985">
        <v>20</v>
      </c>
      <c r="F1985" s="37"/>
    </row>
    <row r="1986" spans="2:6" x14ac:dyDescent="0.25">
      <c r="B1986" s="38">
        <v>46039</v>
      </c>
      <c r="C1986" s="37" t="s">
        <v>637</v>
      </c>
      <c r="E1986">
        <v>15</v>
      </c>
      <c r="F1986" s="37"/>
    </row>
    <row r="1987" spans="2:6" x14ac:dyDescent="0.25">
      <c r="B1987" s="38">
        <v>46039</v>
      </c>
      <c r="C1987" s="37" t="s">
        <v>617</v>
      </c>
      <c r="E1987">
        <v>10</v>
      </c>
      <c r="F1987" s="37"/>
    </row>
    <row r="1988" spans="2:6" x14ac:dyDescent="0.25">
      <c r="B1988" s="38">
        <v>46039</v>
      </c>
      <c r="C1988" s="37" t="s">
        <v>139</v>
      </c>
      <c r="E1988">
        <v>10</v>
      </c>
      <c r="F1988" s="37"/>
    </row>
    <row r="1989" spans="2:6" x14ac:dyDescent="0.25">
      <c r="B1989" s="38">
        <v>46039</v>
      </c>
      <c r="C1989" s="37" t="s">
        <v>145</v>
      </c>
      <c r="E1989">
        <v>10</v>
      </c>
      <c r="F1989" s="37"/>
    </row>
    <row r="1990" spans="2:6" x14ac:dyDescent="0.25">
      <c r="B1990" s="38">
        <v>46039</v>
      </c>
      <c r="C1990" s="37" t="s">
        <v>397</v>
      </c>
      <c r="E1990">
        <v>10</v>
      </c>
      <c r="F1990" s="37"/>
    </row>
    <row r="1991" spans="2:6" x14ac:dyDescent="0.25">
      <c r="B1991" s="38">
        <v>46039</v>
      </c>
      <c r="C1991" s="37" t="s">
        <v>469</v>
      </c>
      <c r="E1991">
        <v>10</v>
      </c>
      <c r="F1991" s="37"/>
    </row>
    <row r="1992" spans="2:6" x14ac:dyDescent="0.25">
      <c r="B1992" s="38">
        <v>46039</v>
      </c>
      <c r="C1992" s="37" t="s">
        <v>470</v>
      </c>
      <c r="E1992">
        <v>10</v>
      </c>
      <c r="F1992" s="37"/>
    </row>
    <row r="1993" spans="2:6" x14ac:dyDescent="0.25">
      <c r="B1993" s="38">
        <v>46039</v>
      </c>
      <c r="C1993" s="37" t="s">
        <v>588</v>
      </c>
      <c r="E1993">
        <v>10</v>
      </c>
      <c r="F1993" s="37"/>
    </row>
    <row r="1994" spans="2:6" x14ac:dyDescent="0.25">
      <c r="B1994" s="38">
        <v>46039</v>
      </c>
      <c r="C1994" s="37" t="s">
        <v>445</v>
      </c>
      <c r="E1994">
        <v>10</v>
      </c>
      <c r="F1994" s="37"/>
    </row>
    <row r="1995" spans="2:6" x14ac:dyDescent="0.25">
      <c r="B1995" s="38">
        <v>46039</v>
      </c>
      <c r="C1995" s="37" t="s">
        <v>171</v>
      </c>
      <c r="E1995">
        <v>10</v>
      </c>
      <c r="F1995" s="37"/>
    </row>
    <row r="1996" spans="2:6" x14ac:dyDescent="0.25">
      <c r="B1996" s="38">
        <v>46039</v>
      </c>
      <c r="C1996" s="37" t="s">
        <v>499</v>
      </c>
      <c r="E1996">
        <v>15</v>
      </c>
      <c r="F1996" s="37"/>
    </row>
    <row r="1997" spans="2:6" x14ac:dyDescent="0.25">
      <c r="B1997" s="38">
        <v>46039</v>
      </c>
      <c r="C1997" s="37" t="s">
        <v>550</v>
      </c>
      <c r="E1997">
        <v>10</v>
      </c>
      <c r="F1997" s="37"/>
    </row>
    <row r="1998" spans="2:6" x14ac:dyDescent="0.25">
      <c r="B1998" s="38">
        <v>46039</v>
      </c>
      <c r="C1998" s="37" t="s">
        <v>562</v>
      </c>
      <c r="E1998">
        <v>10</v>
      </c>
      <c r="F1998" s="37"/>
    </row>
    <row r="1999" spans="2:6" x14ac:dyDescent="0.25">
      <c r="B1999" s="38">
        <v>46039</v>
      </c>
      <c r="C1999" s="37" t="s">
        <v>493</v>
      </c>
      <c r="E1999">
        <v>10</v>
      </c>
      <c r="F1999" s="37"/>
    </row>
    <row r="2000" spans="2:6" x14ac:dyDescent="0.25">
      <c r="B2000" s="38">
        <v>46039</v>
      </c>
      <c r="C2000" s="37" t="s">
        <v>492</v>
      </c>
      <c r="E2000">
        <v>10</v>
      </c>
      <c r="F2000" s="37"/>
    </row>
    <row r="2001" spans="2:6" x14ac:dyDescent="0.25">
      <c r="B2001" s="38">
        <v>46039</v>
      </c>
      <c r="C2001" s="37" t="s">
        <v>160</v>
      </c>
      <c r="E2001">
        <v>3</v>
      </c>
      <c r="F2001" s="37"/>
    </row>
    <row r="2002" spans="2:6" x14ac:dyDescent="0.25">
      <c r="B2002" s="38">
        <v>46039</v>
      </c>
      <c r="C2002" s="37" t="s">
        <v>636</v>
      </c>
      <c r="E2002">
        <v>10</v>
      </c>
      <c r="F2002" s="37"/>
    </row>
    <row r="2003" spans="2:6" x14ac:dyDescent="0.25">
      <c r="B2003" s="38">
        <v>46039</v>
      </c>
      <c r="C2003" s="37" t="s">
        <v>135</v>
      </c>
      <c r="E2003">
        <v>10</v>
      </c>
      <c r="F2003" s="37"/>
    </row>
    <row r="2004" spans="2:6" x14ac:dyDescent="0.25">
      <c r="B2004" s="38">
        <v>46039</v>
      </c>
      <c r="C2004" s="37" t="s">
        <v>496</v>
      </c>
      <c r="E2004">
        <v>12</v>
      </c>
      <c r="F2004" s="37"/>
    </row>
    <row r="2005" spans="2:6" x14ac:dyDescent="0.25">
      <c r="B2005" s="38">
        <v>46039</v>
      </c>
      <c r="C2005" s="37" t="s">
        <v>159</v>
      </c>
      <c r="E2005">
        <v>5</v>
      </c>
      <c r="F2005" s="37"/>
    </row>
    <row r="2006" spans="2:6" x14ac:dyDescent="0.25">
      <c r="B2006" s="38">
        <v>46039</v>
      </c>
      <c r="C2006" s="37" t="s">
        <v>616</v>
      </c>
      <c r="E2006">
        <v>5</v>
      </c>
      <c r="F2006" s="37"/>
    </row>
    <row r="2007" spans="2:6" x14ac:dyDescent="0.25">
      <c r="B2007" s="38">
        <v>46039</v>
      </c>
      <c r="C2007" s="37" t="s">
        <v>166</v>
      </c>
      <c r="E2007">
        <v>5</v>
      </c>
      <c r="F2007" s="37"/>
    </row>
    <row r="2008" spans="2:6" x14ac:dyDescent="0.25">
      <c r="B2008" s="38">
        <v>46039</v>
      </c>
      <c r="C2008" s="37" t="s">
        <v>317</v>
      </c>
      <c r="E2008">
        <v>5</v>
      </c>
      <c r="F2008" s="37"/>
    </row>
    <row r="2009" spans="2:6" x14ac:dyDescent="0.25">
      <c r="B2009" s="38">
        <v>46039</v>
      </c>
      <c r="C2009" s="37" t="s">
        <v>573</v>
      </c>
      <c r="E2009">
        <v>5</v>
      </c>
      <c r="F2009" s="37"/>
    </row>
    <row r="2010" spans="2:6" x14ac:dyDescent="0.25">
      <c r="B2010" s="38">
        <v>46039</v>
      </c>
      <c r="C2010" s="37" t="s">
        <v>624</v>
      </c>
      <c r="E2010">
        <v>10</v>
      </c>
      <c r="F2010" s="37"/>
    </row>
    <row r="2011" spans="2:6" x14ac:dyDescent="0.25">
      <c r="B2011" s="38">
        <v>46039</v>
      </c>
      <c r="C2011" s="37" t="s">
        <v>489</v>
      </c>
      <c r="E2011">
        <v>10</v>
      </c>
      <c r="F2011" s="37"/>
    </row>
    <row r="2012" spans="2:6" x14ac:dyDescent="0.25">
      <c r="B2012" s="38">
        <v>46045</v>
      </c>
      <c r="C2012" s="37" t="s">
        <v>603</v>
      </c>
      <c r="E2012">
        <v>20</v>
      </c>
      <c r="F2012" s="37"/>
    </row>
    <row r="2013" spans="2:6" x14ac:dyDescent="0.25">
      <c r="B2013" s="38">
        <v>46045</v>
      </c>
      <c r="C2013" s="37" t="s">
        <v>635</v>
      </c>
      <c r="E2013">
        <v>2</v>
      </c>
      <c r="F2013" s="37"/>
    </row>
    <row r="2014" spans="2:6" x14ac:dyDescent="0.25">
      <c r="B2014" s="38">
        <v>46045</v>
      </c>
      <c r="C2014" s="37" t="s">
        <v>545</v>
      </c>
      <c r="E2014">
        <v>10</v>
      </c>
      <c r="F2014" s="37"/>
    </row>
    <row r="2015" spans="2:6" x14ac:dyDescent="0.25">
      <c r="B2015" s="38">
        <v>46045</v>
      </c>
      <c r="C2015" s="37" t="s">
        <v>471</v>
      </c>
      <c r="E2015">
        <v>10</v>
      </c>
      <c r="F2015" s="37"/>
    </row>
    <row r="2016" spans="2:6" x14ac:dyDescent="0.25">
      <c r="B2016" s="38">
        <v>46045</v>
      </c>
      <c r="C2016" s="37" t="s">
        <v>550</v>
      </c>
      <c r="E2016">
        <v>10</v>
      </c>
      <c r="F2016" s="37"/>
    </row>
    <row r="2017" spans="2:6" x14ac:dyDescent="0.25">
      <c r="B2017" s="38">
        <v>46045</v>
      </c>
      <c r="C2017" s="37" t="s">
        <v>530</v>
      </c>
      <c r="E2017">
        <v>2</v>
      </c>
      <c r="F2017" s="37"/>
    </row>
    <row r="2018" spans="2:6" x14ac:dyDescent="0.25">
      <c r="B2018" s="38">
        <v>46045</v>
      </c>
      <c r="C2018" s="37" t="s">
        <v>544</v>
      </c>
      <c r="E2018">
        <v>10</v>
      </c>
      <c r="F2018" s="37"/>
    </row>
    <row r="2019" spans="2:6" x14ac:dyDescent="0.25">
      <c r="B2019" s="38">
        <v>46045</v>
      </c>
      <c r="C2019" s="37" t="s">
        <v>443</v>
      </c>
      <c r="E2019">
        <v>10</v>
      </c>
      <c r="F2019" s="37"/>
    </row>
    <row r="2020" spans="2:6" x14ac:dyDescent="0.25">
      <c r="B2020" s="38">
        <v>46045</v>
      </c>
      <c r="C2020" s="37" t="s">
        <v>525</v>
      </c>
      <c r="E2020">
        <v>10</v>
      </c>
      <c r="F2020" s="37"/>
    </row>
    <row r="2021" spans="2:6" x14ac:dyDescent="0.25">
      <c r="B2021" s="38">
        <v>46045</v>
      </c>
      <c r="C2021" s="37" t="s">
        <v>141</v>
      </c>
      <c r="E2021">
        <v>1</v>
      </c>
      <c r="F2021" s="37" t="s">
        <v>656</v>
      </c>
    </row>
    <row r="2022" spans="2:6" x14ac:dyDescent="0.25">
      <c r="B2022" s="38">
        <v>46045</v>
      </c>
      <c r="C2022" s="37" t="s">
        <v>317</v>
      </c>
      <c r="E2022">
        <v>2</v>
      </c>
      <c r="F2022" s="37"/>
    </row>
    <row r="2023" spans="2:6" x14ac:dyDescent="0.25">
      <c r="B2023" s="38">
        <v>46045</v>
      </c>
      <c r="C2023" s="37" t="s">
        <v>165</v>
      </c>
      <c r="E2023">
        <v>1</v>
      </c>
      <c r="F2023" s="37"/>
    </row>
    <row r="2024" spans="2:6" x14ac:dyDescent="0.25">
      <c r="B2024" s="38">
        <v>46051</v>
      </c>
      <c r="C2024" s="37" t="s">
        <v>617</v>
      </c>
      <c r="E2024">
        <v>10</v>
      </c>
      <c r="F2024" s="37"/>
    </row>
    <row r="2025" spans="2:6" x14ac:dyDescent="0.25">
      <c r="B2025" s="38">
        <v>46051</v>
      </c>
      <c r="C2025" s="37" t="s">
        <v>619</v>
      </c>
      <c r="E2025">
        <v>10</v>
      </c>
      <c r="F2025" s="37"/>
    </row>
    <row r="2026" spans="2:6" x14ac:dyDescent="0.25">
      <c r="B2026" s="38">
        <v>46051</v>
      </c>
      <c r="C2026" s="37" t="s">
        <v>637</v>
      </c>
      <c r="E2026">
        <v>20</v>
      </c>
      <c r="F2026" s="37"/>
    </row>
    <row r="2027" spans="2:6" x14ac:dyDescent="0.25">
      <c r="B2027" s="38">
        <v>46051</v>
      </c>
      <c r="C2027" s="37" t="s">
        <v>624</v>
      </c>
      <c r="E2027">
        <v>15</v>
      </c>
      <c r="F2027" s="37"/>
    </row>
    <row r="2028" spans="2:6" x14ac:dyDescent="0.25">
      <c r="B2028" s="38">
        <v>46051</v>
      </c>
      <c r="C2028" s="37" t="s">
        <v>489</v>
      </c>
      <c r="E2028">
        <v>10</v>
      </c>
      <c r="F2028" s="37"/>
    </row>
    <row r="2029" spans="2:6" x14ac:dyDescent="0.25">
      <c r="B2029" s="38">
        <v>46051</v>
      </c>
      <c r="C2029" s="37" t="s">
        <v>636</v>
      </c>
      <c r="E2029">
        <v>10</v>
      </c>
      <c r="F2029" s="37"/>
    </row>
    <row r="2030" spans="2:6" x14ac:dyDescent="0.25">
      <c r="B2030" s="38">
        <v>46051</v>
      </c>
      <c r="C2030" s="37" t="s">
        <v>550</v>
      </c>
      <c r="E2030">
        <v>10</v>
      </c>
      <c r="F2030" s="37"/>
    </row>
    <row r="2031" spans="2:6" x14ac:dyDescent="0.25">
      <c r="B2031" s="38">
        <v>46051</v>
      </c>
      <c r="C2031" s="37" t="s">
        <v>445</v>
      </c>
      <c r="E2031">
        <v>10</v>
      </c>
      <c r="F2031" s="37"/>
    </row>
    <row r="2032" spans="2:6" x14ac:dyDescent="0.25">
      <c r="B2032" s="38">
        <v>46051</v>
      </c>
      <c r="C2032" s="37" t="s">
        <v>569</v>
      </c>
      <c r="E2032">
        <v>10</v>
      </c>
      <c r="F2032" s="37"/>
    </row>
    <row r="2033" spans="2:6" x14ac:dyDescent="0.25">
      <c r="B2033" s="38">
        <v>46051</v>
      </c>
      <c r="C2033" s="37" t="s">
        <v>603</v>
      </c>
      <c r="E2033">
        <v>40</v>
      </c>
      <c r="F2033" s="37"/>
    </row>
    <row r="2034" spans="2:6" x14ac:dyDescent="0.25">
      <c r="B2034" s="38">
        <v>46051</v>
      </c>
      <c r="C2034" s="37" t="s">
        <v>201</v>
      </c>
      <c r="E2034">
        <v>1</v>
      </c>
      <c r="F2034" s="37"/>
    </row>
    <row r="2035" spans="2:6" x14ac:dyDescent="0.25">
      <c r="B2035" s="38">
        <v>46052</v>
      </c>
      <c r="C2035" s="37" t="s">
        <v>204</v>
      </c>
      <c r="E2035">
        <v>1</v>
      </c>
      <c r="F2035" s="37" t="s">
        <v>495</v>
      </c>
    </row>
    <row r="2036" spans="2:6" x14ac:dyDescent="0.25">
      <c r="B2036" s="38">
        <v>46053</v>
      </c>
      <c r="C2036" s="37" t="s">
        <v>164</v>
      </c>
      <c r="E2036">
        <v>2</v>
      </c>
      <c r="F2036" s="37"/>
    </row>
    <row r="2037" spans="2:6" x14ac:dyDescent="0.25">
      <c r="B2037" s="38">
        <v>46056</v>
      </c>
      <c r="C2037" s="37" t="s">
        <v>517</v>
      </c>
      <c r="E2037">
        <v>11</v>
      </c>
      <c r="F2037" s="37" t="s">
        <v>495</v>
      </c>
    </row>
    <row r="2038" spans="2:6" x14ac:dyDescent="0.25">
      <c r="B2038" s="38">
        <v>46059</v>
      </c>
      <c r="C2038" s="37" t="s">
        <v>635</v>
      </c>
      <c r="D2038">
        <v>1</v>
      </c>
      <c r="F2038" s="37" t="s">
        <v>673</v>
      </c>
    </row>
    <row r="2039" spans="2:6" x14ac:dyDescent="0.25">
      <c r="B2039" s="38">
        <v>46059</v>
      </c>
      <c r="C2039" s="37" t="s">
        <v>270</v>
      </c>
      <c r="E2039">
        <v>3</v>
      </c>
      <c r="F2039" s="37"/>
    </row>
    <row r="2040" spans="2:6" x14ac:dyDescent="0.25">
      <c r="B2040" s="38">
        <v>46059</v>
      </c>
      <c r="C2040" s="37" t="s">
        <v>611</v>
      </c>
      <c r="E2040">
        <v>4</v>
      </c>
      <c r="F2040" s="37"/>
    </row>
    <row r="2041" spans="2:6" x14ac:dyDescent="0.25">
      <c r="B2041" s="38">
        <v>46059</v>
      </c>
      <c r="C2041" s="37" t="s">
        <v>642</v>
      </c>
      <c r="E2041">
        <v>3</v>
      </c>
      <c r="F2041" s="37"/>
    </row>
    <row r="2042" spans="2:6" x14ac:dyDescent="0.25">
      <c r="B2042" s="38">
        <v>46060</v>
      </c>
      <c r="C2042" s="37" t="s">
        <v>635</v>
      </c>
      <c r="E2042">
        <v>1</v>
      </c>
      <c r="F2042" s="37"/>
    </row>
    <row r="2043" spans="2:6" x14ac:dyDescent="0.25">
      <c r="B2043" s="38">
        <v>46060</v>
      </c>
      <c r="C2043" s="37" t="s">
        <v>419</v>
      </c>
      <c r="E2043">
        <v>20</v>
      </c>
      <c r="F2043" s="37"/>
    </row>
    <row r="2044" spans="2:6" x14ac:dyDescent="0.25">
      <c r="B2044" s="38">
        <v>46060</v>
      </c>
      <c r="C2044" s="37" t="s">
        <v>155</v>
      </c>
      <c r="E2044">
        <v>10</v>
      </c>
      <c r="F2044" s="37"/>
    </row>
    <row r="2045" spans="2:6" x14ac:dyDescent="0.25">
      <c r="B2045" s="38">
        <v>46060</v>
      </c>
      <c r="C2045" s="37" t="s">
        <v>421</v>
      </c>
      <c r="E2045">
        <v>10</v>
      </c>
      <c r="F2045" s="37"/>
    </row>
    <row r="2046" spans="2:6" x14ac:dyDescent="0.25">
      <c r="B2046" s="38">
        <v>46060</v>
      </c>
      <c r="C2046" s="37" t="s">
        <v>145</v>
      </c>
      <c r="E2046">
        <v>10</v>
      </c>
      <c r="F2046" s="37"/>
    </row>
    <row r="2047" spans="2:6" x14ac:dyDescent="0.25">
      <c r="B2047" s="38">
        <v>46060</v>
      </c>
      <c r="C2047" s="37" t="s">
        <v>452</v>
      </c>
      <c r="E2047">
        <v>15</v>
      </c>
      <c r="F2047" s="37"/>
    </row>
    <row r="2048" spans="2:6" x14ac:dyDescent="0.25">
      <c r="B2048" s="38">
        <v>46060</v>
      </c>
      <c r="C2048" s="37" t="s">
        <v>397</v>
      </c>
      <c r="E2048">
        <v>15</v>
      </c>
      <c r="F2048" s="37"/>
    </row>
    <row r="2049" spans="2:6" x14ac:dyDescent="0.25">
      <c r="B2049" s="38">
        <v>46060</v>
      </c>
      <c r="C2049" s="37" t="s">
        <v>493</v>
      </c>
      <c r="E2049">
        <v>10</v>
      </c>
      <c r="F2049" s="37"/>
    </row>
    <row r="2050" spans="2:6" x14ac:dyDescent="0.25">
      <c r="B2050" s="38">
        <v>46060</v>
      </c>
      <c r="C2050" s="37" t="s">
        <v>492</v>
      </c>
      <c r="E2050">
        <v>10</v>
      </c>
      <c r="F2050" s="37"/>
    </row>
    <row r="2051" spans="2:6" x14ac:dyDescent="0.25">
      <c r="B2051" s="38">
        <v>46060</v>
      </c>
      <c r="C2051" s="37" t="s">
        <v>491</v>
      </c>
      <c r="E2051">
        <v>10</v>
      </c>
      <c r="F2051" s="37"/>
    </row>
    <row r="2052" spans="2:6" x14ac:dyDescent="0.25">
      <c r="B2052" s="38">
        <v>46060</v>
      </c>
      <c r="C2052" s="37" t="s">
        <v>146</v>
      </c>
      <c r="E2052">
        <v>2</v>
      </c>
      <c r="F2052" s="37"/>
    </row>
    <row r="2053" spans="2:6" x14ac:dyDescent="0.25">
      <c r="B2053" s="38">
        <v>46060</v>
      </c>
      <c r="C2053" s="37" t="s">
        <v>588</v>
      </c>
      <c r="E2053">
        <v>10</v>
      </c>
      <c r="F2053" s="37"/>
    </row>
    <row r="2054" spans="2:6" x14ac:dyDescent="0.25">
      <c r="B2054" s="38">
        <v>46060</v>
      </c>
      <c r="C2054" s="37" t="s">
        <v>171</v>
      </c>
      <c r="E2054">
        <v>15</v>
      </c>
      <c r="F2054" s="37"/>
    </row>
    <row r="2055" spans="2:6" x14ac:dyDescent="0.25">
      <c r="B2055" s="38">
        <v>46060</v>
      </c>
      <c r="C2055" s="37" t="s">
        <v>432</v>
      </c>
      <c r="E2055">
        <v>10</v>
      </c>
      <c r="F2055" s="37"/>
    </row>
    <row r="2056" spans="2:6" x14ac:dyDescent="0.25">
      <c r="B2056" s="38">
        <v>46060</v>
      </c>
      <c r="C2056" s="37" t="s">
        <v>173</v>
      </c>
      <c r="E2056">
        <v>10</v>
      </c>
      <c r="F2056" s="37"/>
    </row>
    <row r="2057" spans="2:6" x14ac:dyDescent="0.25">
      <c r="B2057" s="38">
        <v>46060</v>
      </c>
      <c r="C2057" s="37" t="s">
        <v>614</v>
      </c>
      <c r="E2057">
        <v>11</v>
      </c>
      <c r="F2057" s="37"/>
    </row>
    <row r="2058" spans="2:6" x14ac:dyDescent="0.25">
      <c r="B2058" s="38">
        <v>46060</v>
      </c>
      <c r="C2058" s="37" t="s">
        <v>468</v>
      </c>
      <c r="E2058">
        <v>10</v>
      </c>
      <c r="F2058" s="37"/>
    </row>
    <row r="2059" spans="2:6" x14ac:dyDescent="0.25">
      <c r="B2059" s="38">
        <v>46060</v>
      </c>
      <c r="C2059" s="37" t="s">
        <v>124</v>
      </c>
      <c r="E2059">
        <v>10</v>
      </c>
      <c r="F2059" s="37"/>
    </row>
    <row r="2060" spans="2:6" x14ac:dyDescent="0.25">
      <c r="B2060" s="38">
        <v>46060</v>
      </c>
      <c r="C2060" s="37" t="s">
        <v>486</v>
      </c>
      <c r="E2060">
        <v>1</v>
      </c>
      <c r="F2060" s="37"/>
    </row>
    <row r="2061" spans="2:6" x14ac:dyDescent="0.25">
      <c r="B2061" s="38">
        <v>46060</v>
      </c>
      <c r="C2061" s="37" t="s">
        <v>279</v>
      </c>
      <c r="E2061">
        <v>1</v>
      </c>
      <c r="F2061" s="37"/>
    </row>
    <row r="2062" spans="2:6" x14ac:dyDescent="0.25">
      <c r="B2062" s="38">
        <v>46060</v>
      </c>
      <c r="C2062" s="37" t="s">
        <v>646</v>
      </c>
      <c r="E2062">
        <v>2</v>
      </c>
      <c r="F2062" s="37"/>
    </row>
    <row r="2063" spans="2:6" x14ac:dyDescent="0.25">
      <c r="B2063" s="38">
        <v>46060</v>
      </c>
      <c r="C2063" s="37" t="s">
        <v>527</v>
      </c>
      <c r="E2063">
        <v>10</v>
      </c>
      <c r="F2063" s="37"/>
    </row>
    <row r="2064" spans="2:6" x14ac:dyDescent="0.25">
      <c r="B2064" s="38">
        <v>46060</v>
      </c>
      <c r="C2064" s="37" t="s">
        <v>647</v>
      </c>
      <c r="E2064">
        <v>10</v>
      </c>
      <c r="F2064" s="37"/>
    </row>
    <row r="2065" spans="2:6" x14ac:dyDescent="0.25">
      <c r="B2065" s="38">
        <v>46060</v>
      </c>
      <c r="C2065" s="37" t="s">
        <v>247</v>
      </c>
      <c r="E2065">
        <v>5</v>
      </c>
      <c r="F2065" s="37"/>
    </row>
    <row r="2066" spans="2:6" x14ac:dyDescent="0.25">
      <c r="B2066" s="38">
        <v>46060</v>
      </c>
      <c r="C2066" s="37" t="s">
        <v>159</v>
      </c>
      <c r="E2066">
        <v>5</v>
      </c>
      <c r="F2066" s="37"/>
    </row>
    <row r="2067" spans="2:6" x14ac:dyDescent="0.25">
      <c r="B2067" s="38">
        <v>46060</v>
      </c>
      <c r="C2067" s="37" t="s">
        <v>573</v>
      </c>
      <c r="E2067">
        <v>5</v>
      </c>
      <c r="F2067" s="37"/>
    </row>
    <row r="2068" spans="2:6" x14ac:dyDescent="0.25">
      <c r="B2068" s="38">
        <v>46060</v>
      </c>
      <c r="C2068" s="37" t="s">
        <v>525</v>
      </c>
      <c r="E2068">
        <v>15</v>
      </c>
      <c r="F2068" s="37"/>
    </row>
    <row r="2069" spans="2:6" x14ac:dyDescent="0.25">
      <c r="B2069" s="38">
        <v>46060</v>
      </c>
      <c r="C2069" s="37" t="s">
        <v>497</v>
      </c>
      <c r="E2069">
        <v>15</v>
      </c>
      <c r="F2069" s="37"/>
    </row>
    <row r="2070" spans="2:6" x14ac:dyDescent="0.25">
      <c r="B2070" s="38">
        <v>46060</v>
      </c>
      <c r="C2070" s="37" t="s">
        <v>603</v>
      </c>
      <c r="E2070">
        <v>50</v>
      </c>
      <c r="F2070" s="37"/>
    </row>
    <row r="2071" spans="2:6" x14ac:dyDescent="0.25">
      <c r="B2071" s="38">
        <v>46060</v>
      </c>
      <c r="C2071" s="37" t="s">
        <v>611</v>
      </c>
      <c r="E2071">
        <v>5</v>
      </c>
      <c r="F2071" s="37"/>
    </row>
    <row r="2072" spans="2:6" x14ac:dyDescent="0.25">
      <c r="B2072" s="38">
        <v>46060</v>
      </c>
      <c r="C2072" s="37" t="s">
        <v>270</v>
      </c>
      <c r="E2072">
        <v>5</v>
      </c>
      <c r="F2072" s="37"/>
    </row>
    <row r="2073" spans="2:6" x14ac:dyDescent="0.25">
      <c r="B2073" s="38">
        <v>46060</v>
      </c>
      <c r="C2073" s="37" t="s">
        <v>434</v>
      </c>
      <c r="E2073">
        <v>5</v>
      </c>
      <c r="F2073" s="37"/>
    </row>
    <row r="2074" spans="2:6" x14ac:dyDescent="0.25">
      <c r="B2074" s="38">
        <v>46060</v>
      </c>
      <c r="C2074" s="37" t="s">
        <v>378</v>
      </c>
      <c r="E2074">
        <v>5</v>
      </c>
      <c r="F2074" s="37"/>
    </row>
    <row r="2075" spans="2:6" x14ac:dyDescent="0.25">
      <c r="B2075" s="38">
        <v>46060</v>
      </c>
      <c r="C2075" s="37" t="s">
        <v>624</v>
      </c>
      <c r="E2075">
        <v>15</v>
      </c>
      <c r="F2075" s="37"/>
    </row>
    <row r="2076" spans="2:6" x14ac:dyDescent="0.25">
      <c r="B2076" s="38">
        <v>46065</v>
      </c>
      <c r="C2076" s="37" t="s">
        <v>625</v>
      </c>
      <c r="E2076">
        <v>9</v>
      </c>
      <c r="F2076" s="37"/>
    </row>
    <row r="2077" spans="2:6" x14ac:dyDescent="0.25">
      <c r="B2077" s="38">
        <v>46065</v>
      </c>
      <c r="C2077" s="37" t="s">
        <v>256</v>
      </c>
      <c r="E2077">
        <v>2</v>
      </c>
      <c r="F2077" s="37"/>
    </row>
    <row r="2078" spans="2:6" x14ac:dyDescent="0.25">
      <c r="B2078" s="38">
        <v>46066</v>
      </c>
      <c r="C2078" s="37" t="s">
        <v>445</v>
      </c>
      <c r="E2078">
        <v>10</v>
      </c>
      <c r="F2078" s="37"/>
    </row>
    <row r="2079" spans="2:6" x14ac:dyDescent="0.25">
      <c r="B2079" s="38">
        <v>46066</v>
      </c>
      <c r="C2079" s="37" t="s">
        <v>502</v>
      </c>
      <c r="E2079">
        <v>10</v>
      </c>
      <c r="F2079" s="37"/>
    </row>
    <row r="2080" spans="2:6" x14ac:dyDescent="0.25">
      <c r="B2080" s="38">
        <v>46066</v>
      </c>
      <c r="C2080" s="37" t="s">
        <v>443</v>
      </c>
      <c r="E2080">
        <v>10</v>
      </c>
      <c r="F2080" s="37"/>
    </row>
    <row r="2081" spans="2:6" x14ac:dyDescent="0.25">
      <c r="B2081" s="38">
        <v>46066</v>
      </c>
      <c r="C2081" s="37" t="s">
        <v>654</v>
      </c>
      <c r="E2081">
        <v>5</v>
      </c>
      <c r="F2081" s="37"/>
    </row>
    <row r="2082" spans="2:6" x14ac:dyDescent="0.25">
      <c r="B2082" s="38">
        <v>46066</v>
      </c>
      <c r="C2082" s="37" t="s">
        <v>603</v>
      </c>
      <c r="E2082">
        <v>39</v>
      </c>
      <c r="F2082" s="37"/>
    </row>
    <row r="2083" spans="2:6" x14ac:dyDescent="0.25">
      <c r="B2083" s="38">
        <v>46066</v>
      </c>
      <c r="C2083" s="37" t="s">
        <v>468</v>
      </c>
      <c r="E2083">
        <v>10</v>
      </c>
      <c r="F2083" s="37"/>
    </row>
    <row r="2084" spans="2:6" x14ac:dyDescent="0.25">
      <c r="B2084" s="38">
        <v>46066</v>
      </c>
      <c r="C2084" s="37" t="s">
        <v>465</v>
      </c>
      <c r="E2084">
        <v>10</v>
      </c>
      <c r="F2084" s="37"/>
    </row>
    <row r="2085" spans="2:6" x14ac:dyDescent="0.25">
      <c r="B2085" s="38">
        <v>46066</v>
      </c>
      <c r="C2085" s="37" t="s">
        <v>397</v>
      </c>
      <c r="E2085">
        <v>15</v>
      </c>
      <c r="F2085" s="37"/>
    </row>
    <row r="2086" spans="2:6" x14ac:dyDescent="0.25">
      <c r="B2086" s="38">
        <v>46069</v>
      </c>
      <c r="C2086" s="37" t="s">
        <v>492</v>
      </c>
      <c r="E2086">
        <v>10</v>
      </c>
      <c r="F2086" s="37"/>
    </row>
    <row r="2087" spans="2:6" x14ac:dyDescent="0.25">
      <c r="B2087" s="38">
        <v>46069</v>
      </c>
      <c r="C2087" s="37" t="s">
        <v>489</v>
      </c>
      <c r="E2087">
        <v>10</v>
      </c>
      <c r="F2087" s="37"/>
    </row>
    <row r="2088" spans="2:6" x14ac:dyDescent="0.25">
      <c r="B2088" s="38">
        <v>46069</v>
      </c>
      <c r="C2088" s="37" t="s">
        <v>588</v>
      </c>
      <c r="E2088">
        <v>10</v>
      </c>
      <c r="F2088" s="37"/>
    </row>
    <row r="2089" spans="2:6" x14ac:dyDescent="0.25">
      <c r="B2089" s="38">
        <v>46069</v>
      </c>
      <c r="C2089" s="37" t="s">
        <v>499</v>
      </c>
      <c r="E2089">
        <v>15</v>
      </c>
      <c r="F2089" s="37"/>
    </row>
    <row r="2090" spans="2:6" x14ac:dyDescent="0.25">
      <c r="B2090" s="38">
        <v>46070</v>
      </c>
      <c r="C2090" s="37" t="s">
        <v>143</v>
      </c>
      <c r="D2090">
        <v>22</v>
      </c>
      <c r="F2090" s="37" t="s">
        <v>674</v>
      </c>
    </row>
    <row r="2091" spans="2:6" x14ac:dyDescent="0.25">
      <c r="B2091" s="38">
        <v>46070</v>
      </c>
      <c r="C2091" s="37" t="s">
        <v>675</v>
      </c>
      <c r="D2091">
        <v>22</v>
      </c>
      <c r="F2091" s="37" t="s">
        <v>674</v>
      </c>
    </row>
    <row r="2092" spans="2:6" x14ac:dyDescent="0.25">
      <c r="B2092" s="38">
        <v>46071</v>
      </c>
      <c r="C2092" s="37" t="s">
        <v>603</v>
      </c>
      <c r="D2092">
        <v>75</v>
      </c>
      <c r="F2092" s="37" t="s">
        <v>563</v>
      </c>
    </row>
    <row r="2093" spans="2:6" x14ac:dyDescent="0.25">
      <c r="B2093" s="38">
        <v>46071</v>
      </c>
      <c r="C2093" s="37" t="s">
        <v>599</v>
      </c>
      <c r="D2093">
        <v>100</v>
      </c>
      <c r="F2093" s="37" t="s">
        <v>481</v>
      </c>
    </row>
    <row r="2094" spans="2:6" x14ac:dyDescent="0.25">
      <c r="B2094" s="38">
        <v>46071</v>
      </c>
      <c r="C2094" s="37" t="s">
        <v>445</v>
      </c>
      <c r="D2094">
        <v>50</v>
      </c>
      <c r="F2094" s="37" t="s">
        <v>481</v>
      </c>
    </row>
    <row r="2095" spans="2:6" x14ac:dyDescent="0.25">
      <c r="B2095" s="38">
        <v>46071</v>
      </c>
      <c r="C2095" s="37" t="s">
        <v>223</v>
      </c>
      <c r="D2095">
        <v>20</v>
      </c>
      <c r="F2095" s="37" t="s">
        <v>509</v>
      </c>
    </row>
    <row r="2096" spans="2:6" x14ac:dyDescent="0.25">
      <c r="B2096" s="38">
        <v>46071</v>
      </c>
      <c r="C2096" s="37" t="s">
        <v>677</v>
      </c>
      <c r="D2096">
        <v>10</v>
      </c>
      <c r="F2096" s="37" t="s">
        <v>509</v>
      </c>
    </row>
    <row r="2097" spans="2:6" x14ac:dyDescent="0.25">
      <c r="B2097" s="38">
        <v>46071</v>
      </c>
      <c r="C2097" s="37" t="s">
        <v>678</v>
      </c>
      <c r="D2097">
        <v>10</v>
      </c>
      <c r="F2097" s="37" t="s">
        <v>509</v>
      </c>
    </row>
    <row r="2098" spans="2:6" x14ac:dyDescent="0.25">
      <c r="B2098" s="38">
        <v>46071</v>
      </c>
      <c r="C2098" s="37" t="s">
        <v>588</v>
      </c>
      <c r="D2098">
        <v>50</v>
      </c>
      <c r="F2098" s="37" t="s">
        <v>509</v>
      </c>
    </row>
    <row r="2099" spans="2:6" x14ac:dyDescent="0.25">
      <c r="B2099" s="38">
        <v>46071</v>
      </c>
      <c r="C2099" s="37" t="s">
        <v>679</v>
      </c>
      <c r="D2099">
        <v>10</v>
      </c>
      <c r="F2099" s="37" t="s">
        <v>509</v>
      </c>
    </row>
    <row r="2100" spans="2:6" x14ac:dyDescent="0.25">
      <c r="B2100" s="38">
        <v>46071</v>
      </c>
      <c r="C2100" s="37" t="s">
        <v>625</v>
      </c>
      <c r="D2100">
        <v>50</v>
      </c>
      <c r="F2100" s="37" t="s">
        <v>509</v>
      </c>
    </row>
    <row r="2101" spans="2:6" x14ac:dyDescent="0.25">
      <c r="B2101" s="38">
        <v>46071</v>
      </c>
      <c r="C2101" s="37" t="s">
        <v>679</v>
      </c>
      <c r="E2101">
        <v>5</v>
      </c>
      <c r="F2101" s="37"/>
    </row>
    <row r="2102" spans="2:6" x14ac:dyDescent="0.25">
      <c r="B2102" s="38">
        <v>46072</v>
      </c>
      <c r="C2102" s="37" t="s">
        <v>616</v>
      </c>
      <c r="E2102">
        <v>2</v>
      </c>
      <c r="F2102" s="37"/>
    </row>
    <row r="2103" spans="2:6" x14ac:dyDescent="0.25">
      <c r="B2103" s="38">
        <v>46072</v>
      </c>
      <c r="C2103" s="37" t="s">
        <v>159</v>
      </c>
      <c r="E2103">
        <v>1</v>
      </c>
      <c r="F2103" s="37"/>
    </row>
    <row r="2104" spans="2:6" x14ac:dyDescent="0.25">
      <c r="B2104" s="38">
        <v>46072</v>
      </c>
      <c r="C2104" s="37" t="s">
        <v>604</v>
      </c>
      <c r="D2104">
        <v>50</v>
      </c>
      <c r="F2104" s="37" t="s">
        <v>563</v>
      </c>
    </row>
    <row r="2105" spans="2:6" x14ac:dyDescent="0.25">
      <c r="B2105" s="38">
        <v>46072</v>
      </c>
      <c r="C2105" s="37" t="s">
        <v>445</v>
      </c>
      <c r="E2105">
        <v>10</v>
      </c>
      <c r="F2105" s="37"/>
    </row>
    <row r="2106" spans="2:6" x14ac:dyDescent="0.25">
      <c r="B2106" s="38">
        <v>46072</v>
      </c>
      <c r="C2106" s="37" t="s">
        <v>443</v>
      </c>
      <c r="E2106">
        <v>10</v>
      </c>
      <c r="F2106" s="37"/>
    </row>
    <row r="2107" spans="2:6" x14ac:dyDescent="0.25">
      <c r="B2107" s="38">
        <v>46072</v>
      </c>
      <c r="C2107" s="37" t="s">
        <v>471</v>
      </c>
      <c r="E2107">
        <v>10</v>
      </c>
      <c r="F2107" s="37"/>
    </row>
    <row r="2108" spans="2:6" x14ac:dyDescent="0.25">
      <c r="B2108" s="38">
        <v>46072</v>
      </c>
      <c r="C2108" s="37" t="s">
        <v>636</v>
      </c>
      <c r="E2108">
        <v>10</v>
      </c>
      <c r="F2108" s="37"/>
    </row>
    <row r="2109" spans="2:6" x14ac:dyDescent="0.25">
      <c r="B2109" s="38">
        <v>46072</v>
      </c>
      <c r="C2109" s="37" t="s">
        <v>550</v>
      </c>
      <c r="E2109">
        <v>20</v>
      </c>
      <c r="F2109" s="37"/>
    </row>
    <row r="2110" spans="2:6" x14ac:dyDescent="0.25">
      <c r="B2110" s="38">
        <v>46072</v>
      </c>
      <c r="C2110" s="37" t="s">
        <v>493</v>
      </c>
      <c r="E2110">
        <v>20</v>
      </c>
      <c r="F2110" s="37"/>
    </row>
    <row r="2111" spans="2:6" x14ac:dyDescent="0.25">
      <c r="B2111" s="38">
        <v>46072</v>
      </c>
      <c r="C2111" s="37" t="s">
        <v>497</v>
      </c>
      <c r="E2111">
        <v>20</v>
      </c>
      <c r="F2111" s="37"/>
    </row>
    <row r="2112" spans="2:6" x14ac:dyDescent="0.25">
      <c r="B2112" s="38">
        <v>46072</v>
      </c>
      <c r="C2112" s="37" t="s">
        <v>470</v>
      </c>
      <c r="E2112">
        <v>14</v>
      </c>
      <c r="F2112" s="37"/>
    </row>
    <row r="2113" spans="2:6" x14ac:dyDescent="0.25">
      <c r="B2113" s="38">
        <v>46072</v>
      </c>
      <c r="C2113" s="37" t="s">
        <v>469</v>
      </c>
      <c r="E2113">
        <v>1</v>
      </c>
      <c r="F2113" s="37"/>
    </row>
    <row r="2114" spans="2:6" x14ac:dyDescent="0.25">
      <c r="B2114" s="38">
        <v>46072</v>
      </c>
      <c r="C2114" s="37" t="s">
        <v>602</v>
      </c>
      <c r="E2114">
        <v>15</v>
      </c>
      <c r="F2114" s="37"/>
    </row>
    <row r="2115" spans="2:6" x14ac:dyDescent="0.25">
      <c r="B2115" s="38">
        <v>46072</v>
      </c>
      <c r="C2115" s="37" t="s">
        <v>155</v>
      </c>
      <c r="E2115">
        <v>10</v>
      </c>
      <c r="F2115" s="37"/>
    </row>
    <row r="2116" spans="2:6" x14ac:dyDescent="0.25">
      <c r="B2116" s="38">
        <v>46072</v>
      </c>
      <c r="C2116" s="37" t="s">
        <v>678</v>
      </c>
      <c r="E2116">
        <v>2</v>
      </c>
      <c r="F2116" s="37"/>
    </row>
    <row r="2117" spans="2:6" x14ac:dyDescent="0.25">
      <c r="B2117" s="38">
        <v>46072</v>
      </c>
      <c r="C2117" s="37" t="s">
        <v>182</v>
      </c>
      <c r="E2117">
        <v>1</v>
      </c>
      <c r="F2117" s="37"/>
    </row>
    <row r="2118" spans="2:6" x14ac:dyDescent="0.25">
      <c r="B2118" s="38">
        <v>46072</v>
      </c>
      <c r="C2118" s="37" t="s">
        <v>212</v>
      </c>
      <c r="E2118">
        <v>20</v>
      </c>
      <c r="F2118" s="37"/>
    </row>
    <row r="2119" spans="2:6" x14ac:dyDescent="0.25">
      <c r="B2119" s="38">
        <v>46072</v>
      </c>
      <c r="C2119" s="37" t="s">
        <v>593</v>
      </c>
      <c r="E2119">
        <v>10</v>
      </c>
      <c r="F2119" s="37"/>
    </row>
    <row r="2120" spans="2:6" x14ac:dyDescent="0.25">
      <c r="B2120" s="38">
        <v>46072</v>
      </c>
      <c r="C2120" s="37" t="s">
        <v>544</v>
      </c>
      <c r="E2120">
        <v>10</v>
      </c>
      <c r="F2120" s="37"/>
    </row>
    <row r="2121" spans="2:6" x14ac:dyDescent="0.25">
      <c r="B2121" s="38">
        <v>46072</v>
      </c>
      <c r="C2121" s="37" t="s">
        <v>486</v>
      </c>
      <c r="E2121">
        <v>2</v>
      </c>
      <c r="F2121" s="37"/>
    </row>
    <row r="2122" spans="2:6" x14ac:dyDescent="0.25">
      <c r="B2122" s="38">
        <v>46072</v>
      </c>
      <c r="C2122" s="37" t="s">
        <v>160</v>
      </c>
      <c r="E2122">
        <v>4</v>
      </c>
      <c r="F2122" s="37"/>
    </row>
    <row r="2123" spans="2:6" x14ac:dyDescent="0.25">
      <c r="B2123" s="38">
        <v>46072</v>
      </c>
      <c r="C2123" s="37" t="s">
        <v>434</v>
      </c>
      <c r="E2123">
        <v>10</v>
      </c>
      <c r="F2123" s="37"/>
    </row>
    <row r="2124" spans="2:6" x14ac:dyDescent="0.25">
      <c r="B2124" s="38">
        <v>46072</v>
      </c>
      <c r="C2124" s="37" t="s">
        <v>492</v>
      </c>
      <c r="E2124">
        <v>10</v>
      </c>
      <c r="F2124" s="37"/>
    </row>
    <row r="2125" spans="2:6" x14ac:dyDescent="0.25">
      <c r="B2125" s="38">
        <v>46072</v>
      </c>
      <c r="C2125" s="37" t="s">
        <v>145</v>
      </c>
      <c r="E2125">
        <v>15</v>
      </c>
      <c r="F2125" s="37"/>
    </row>
    <row r="2126" spans="2:6" x14ac:dyDescent="0.25">
      <c r="B2126" s="38">
        <v>46072</v>
      </c>
      <c r="C2126" s="37" t="s">
        <v>419</v>
      </c>
      <c r="E2126">
        <v>15</v>
      </c>
      <c r="F2126" s="37"/>
    </row>
    <row r="2127" spans="2:6" x14ac:dyDescent="0.25">
      <c r="B2127" s="38">
        <v>46072</v>
      </c>
      <c r="C2127" s="37" t="s">
        <v>604</v>
      </c>
      <c r="E2127">
        <v>10</v>
      </c>
      <c r="F2127" s="37"/>
    </row>
    <row r="2128" spans="2:6" x14ac:dyDescent="0.25">
      <c r="B2128" s="38">
        <v>46072</v>
      </c>
      <c r="C2128" s="37" t="s">
        <v>625</v>
      </c>
      <c r="E2128">
        <v>10</v>
      </c>
      <c r="F2128" s="37"/>
    </row>
    <row r="2129" spans="2:6" x14ac:dyDescent="0.25">
      <c r="B2129" s="38">
        <v>46072</v>
      </c>
      <c r="C2129" s="37" t="s">
        <v>421</v>
      </c>
      <c r="E2129">
        <v>10</v>
      </c>
      <c r="F2129" s="37"/>
    </row>
    <row r="2130" spans="2:6" x14ac:dyDescent="0.25">
      <c r="B2130" s="38">
        <v>46072</v>
      </c>
      <c r="C2130" s="37" t="s">
        <v>416</v>
      </c>
      <c r="E2130">
        <v>3</v>
      </c>
      <c r="F2130" s="37"/>
    </row>
    <row r="2131" spans="2:6" x14ac:dyDescent="0.25">
      <c r="B2131" s="38">
        <v>46072</v>
      </c>
      <c r="C2131" s="37" t="s">
        <v>545</v>
      </c>
      <c r="E2131">
        <v>10</v>
      </c>
      <c r="F2131" s="37"/>
    </row>
    <row r="2132" spans="2:6" x14ac:dyDescent="0.25">
      <c r="B2132" s="38">
        <v>46072</v>
      </c>
      <c r="C2132" s="37" t="s">
        <v>525</v>
      </c>
      <c r="E2132">
        <v>12</v>
      </c>
      <c r="F2132" s="37"/>
    </row>
    <row r="2133" spans="2:6" x14ac:dyDescent="0.25">
      <c r="B2133" s="38">
        <v>46072</v>
      </c>
      <c r="C2133" s="37" t="s">
        <v>171</v>
      </c>
      <c r="E2133">
        <v>15</v>
      </c>
      <c r="F2133" s="37"/>
    </row>
    <row r="2134" spans="2:6" x14ac:dyDescent="0.25">
      <c r="B2134" s="38">
        <v>46072</v>
      </c>
      <c r="C2134" s="37" t="s">
        <v>547</v>
      </c>
      <c r="E2134">
        <v>10</v>
      </c>
      <c r="F2134" s="37"/>
    </row>
    <row r="2135" spans="2:6" x14ac:dyDescent="0.25">
      <c r="B2135" s="38">
        <v>46072</v>
      </c>
      <c r="C2135" s="37" t="s">
        <v>566</v>
      </c>
      <c r="E2135">
        <v>20</v>
      </c>
      <c r="F2135" s="37"/>
    </row>
    <row r="2136" spans="2:6" x14ac:dyDescent="0.25">
      <c r="B2136" s="38">
        <v>46072</v>
      </c>
      <c r="C2136" s="37" t="s">
        <v>608</v>
      </c>
      <c r="E2136">
        <v>10</v>
      </c>
      <c r="F2136" s="37"/>
    </row>
    <row r="2137" spans="2:6" x14ac:dyDescent="0.25">
      <c r="B2137" s="38">
        <v>46072</v>
      </c>
      <c r="C2137" s="37" t="s">
        <v>610</v>
      </c>
      <c r="E2137">
        <v>5</v>
      </c>
      <c r="F2137" s="37"/>
    </row>
    <row r="2138" spans="2:6" x14ac:dyDescent="0.25">
      <c r="B2138" s="38">
        <v>46072</v>
      </c>
      <c r="C2138" s="37" t="s">
        <v>611</v>
      </c>
      <c r="E2138">
        <v>5</v>
      </c>
      <c r="F2138" s="37"/>
    </row>
    <row r="2139" spans="2:6" x14ac:dyDescent="0.25">
      <c r="B2139" s="38">
        <v>46072</v>
      </c>
      <c r="C2139" s="37" t="s">
        <v>159</v>
      </c>
      <c r="E2139">
        <v>3</v>
      </c>
      <c r="F2139" s="37"/>
    </row>
    <row r="2140" spans="2:6" x14ac:dyDescent="0.25">
      <c r="B2140" s="38">
        <v>46072</v>
      </c>
      <c r="C2140" s="37" t="s">
        <v>616</v>
      </c>
      <c r="E2140">
        <v>3</v>
      </c>
      <c r="F2140" s="37"/>
    </row>
    <row r="2141" spans="2:6" x14ac:dyDescent="0.25">
      <c r="B2141" s="38">
        <v>46072</v>
      </c>
      <c r="C2141" s="37" t="s">
        <v>166</v>
      </c>
      <c r="E2141">
        <v>3</v>
      </c>
      <c r="F2141" s="37"/>
    </row>
    <row r="2142" spans="2:6" x14ac:dyDescent="0.25">
      <c r="B2142" s="38">
        <v>46072</v>
      </c>
      <c r="C2142" s="37" t="s">
        <v>317</v>
      </c>
      <c r="E2142">
        <v>3</v>
      </c>
      <c r="F2142" s="37"/>
    </row>
    <row r="2143" spans="2:6" x14ac:dyDescent="0.25">
      <c r="B2143" s="38">
        <v>46072</v>
      </c>
      <c r="C2143" s="37" t="s">
        <v>603</v>
      </c>
      <c r="E2143">
        <v>40</v>
      </c>
      <c r="F2143" s="37"/>
    </row>
    <row r="2144" spans="2:6" x14ac:dyDescent="0.25">
      <c r="B2144" s="38">
        <v>46072</v>
      </c>
      <c r="C2144" s="37" t="s">
        <v>599</v>
      </c>
      <c r="E2144">
        <v>50</v>
      </c>
      <c r="F2144" s="37"/>
    </row>
    <row r="2145" spans="2:6" x14ac:dyDescent="0.25">
      <c r="B2145" s="38">
        <v>46073</v>
      </c>
      <c r="C2145" s="37" t="s">
        <v>654</v>
      </c>
      <c r="D2145">
        <v>10</v>
      </c>
      <c r="F2145" s="37" t="s">
        <v>413</v>
      </c>
    </row>
    <row r="2146" spans="2:6" x14ac:dyDescent="0.25">
      <c r="B2146" s="38">
        <v>46073</v>
      </c>
      <c r="C2146" s="37" t="s">
        <v>566</v>
      </c>
      <c r="D2146">
        <v>20</v>
      </c>
      <c r="F2146" s="37" t="s">
        <v>413</v>
      </c>
    </row>
    <row r="2147" spans="2:6" x14ac:dyDescent="0.25">
      <c r="B2147" s="38">
        <v>46073</v>
      </c>
      <c r="C2147" s="37" t="s">
        <v>414</v>
      </c>
      <c r="D2147">
        <v>20</v>
      </c>
      <c r="F2147" s="37" t="s">
        <v>413</v>
      </c>
    </row>
    <row r="2148" spans="2:6" x14ac:dyDescent="0.25">
      <c r="B2148" s="38">
        <v>46073</v>
      </c>
      <c r="C2148" s="37" t="s">
        <v>646</v>
      </c>
      <c r="D2148">
        <v>5</v>
      </c>
      <c r="F2148" s="37" t="s">
        <v>413</v>
      </c>
    </row>
    <row r="2149" spans="2:6" x14ac:dyDescent="0.25">
      <c r="B2149" s="38">
        <v>46073</v>
      </c>
      <c r="C2149" s="37" t="s">
        <v>470</v>
      </c>
      <c r="D2149">
        <v>20</v>
      </c>
      <c r="F2149" s="37" t="s">
        <v>413</v>
      </c>
    </row>
    <row r="2150" spans="2:6" x14ac:dyDescent="0.25">
      <c r="B2150" s="38">
        <v>46073</v>
      </c>
      <c r="C2150" s="37" t="s">
        <v>681</v>
      </c>
      <c r="D2150">
        <v>10</v>
      </c>
      <c r="F2150" s="37" t="s">
        <v>413</v>
      </c>
    </row>
    <row r="2151" spans="2:6" x14ac:dyDescent="0.25">
      <c r="B2151" s="38">
        <v>46073</v>
      </c>
      <c r="C2151" s="37" t="s">
        <v>569</v>
      </c>
      <c r="D2151">
        <v>20</v>
      </c>
      <c r="F2151" s="37" t="s">
        <v>413</v>
      </c>
    </row>
    <row r="2152" spans="2:6" x14ac:dyDescent="0.25">
      <c r="B2152" s="38">
        <v>46073</v>
      </c>
      <c r="C2152" s="37" t="s">
        <v>471</v>
      </c>
      <c r="D2152">
        <v>20</v>
      </c>
      <c r="F2152" s="37" t="s">
        <v>413</v>
      </c>
    </row>
    <row r="2153" spans="2:6" x14ac:dyDescent="0.25">
      <c r="B2153" s="38">
        <v>46073</v>
      </c>
      <c r="C2153" s="37" t="s">
        <v>647</v>
      </c>
      <c r="D2153">
        <v>20</v>
      </c>
      <c r="F2153" s="37" t="s">
        <v>413</v>
      </c>
    </row>
    <row r="2154" spans="2:6" x14ac:dyDescent="0.25">
      <c r="B2154" s="38">
        <v>46073</v>
      </c>
      <c r="C2154" s="37" t="s">
        <v>611</v>
      </c>
      <c r="D2154">
        <v>20</v>
      </c>
      <c r="F2154" s="37" t="s">
        <v>413</v>
      </c>
    </row>
    <row r="2155" spans="2:6" x14ac:dyDescent="0.25">
      <c r="B2155" s="38">
        <v>46073</v>
      </c>
      <c r="C2155" s="37" t="s">
        <v>682</v>
      </c>
      <c r="D2155">
        <v>10</v>
      </c>
      <c r="F2155" s="37" t="s">
        <v>413</v>
      </c>
    </row>
    <row r="2156" spans="2:6" x14ac:dyDescent="0.25">
      <c r="B2156" s="38">
        <v>46073</v>
      </c>
      <c r="C2156" s="37" t="s">
        <v>468</v>
      </c>
      <c r="D2156">
        <v>20</v>
      </c>
      <c r="F2156" s="37" t="s">
        <v>413</v>
      </c>
    </row>
    <row r="2157" spans="2:6" x14ac:dyDescent="0.25">
      <c r="B2157" s="38">
        <v>46073</v>
      </c>
      <c r="C2157" s="37" t="s">
        <v>573</v>
      </c>
      <c r="D2157">
        <v>20</v>
      </c>
      <c r="F2157" s="37" t="s">
        <v>413</v>
      </c>
    </row>
    <row r="2158" spans="2:6" x14ac:dyDescent="0.25">
      <c r="B2158" s="38">
        <v>46073</v>
      </c>
      <c r="C2158" s="37" t="s">
        <v>414</v>
      </c>
      <c r="E2158">
        <v>10</v>
      </c>
      <c r="F2158" s="37"/>
    </row>
    <row r="2159" spans="2:6" x14ac:dyDescent="0.25">
      <c r="B2159" s="38">
        <v>46073</v>
      </c>
      <c r="C2159" s="37" t="s">
        <v>682</v>
      </c>
      <c r="E2159">
        <v>5</v>
      </c>
      <c r="F2159" s="37"/>
    </row>
    <row r="2160" spans="2:6" x14ac:dyDescent="0.25">
      <c r="B2160" s="38">
        <v>46074</v>
      </c>
      <c r="C2160" s="37" t="s">
        <v>272</v>
      </c>
      <c r="E2160">
        <v>3</v>
      </c>
      <c r="F2160" s="37"/>
    </row>
    <row r="2161" spans="2:6" x14ac:dyDescent="0.25">
      <c r="B2161" s="38">
        <v>46077</v>
      </c>
      <c r="C2161" s="37" t="s">
        <v>632</v>
      </c>
      <c r="D2161">
        <v>5</v>
      </c>
      <c r="F2161" s="37" t="s">
        <v>684</v>
      </c>
    </row>
    <row r="2162" spans="2:6" x14ac:dyDescent="0.25">
      <c r="B2162" s="38">
        <v>46077</v>
      </c>
      <c r="C2162" s="37" t="s">
        <v>530</v>
      </c>
      <c r="D2162">
        <v>5</v>
      </c>
      <c r="F2162" s="37" t="s">
        <v>684</v>
      </c>
    </row>
    <row r="2163" spans="2:6" x14ac:dyDescent="0.25">
      <c r="B2163" s="38">
        <v>46081</v>
      </c>
      <c r="C2163" s="37" t="s">
        <v>139</v>
      </c>
      <c r="E2163">
        <v>10</v>
      </c>
      <c r="F2163" s="37"/>
    </row>
    <row r="2164" spans="2:6" x14ac:dyDescent="0.25">
      <c r="B2164" s="38">
        <v>46081</v>
      </c>
      <c r="C2164" s="37" t="s">
        <v>140</v>
      </c>
      <c r="E2164">
        <v>10</v>
      </c>
      <c r="F2164" s="37"/>
    </row>
    <row r="2165" spans="2:6" x14ac:dyDescent="0.25">
      <c r="B2165" s="38">
        <v>46081</v>
      </c>
      <c r="C2165" s="37" t="s">
        <v>588</v>
      </c>
      <c r="E2165">
        <v>20</v>
      </c>
      <c r="F2165" s="37"/>
    </row>
    <row r="2166" spans="2:6" x14ac:dyDescent="0.25">
      <c r="B2166" s="38">
        <v>46081</v>
      </c>
      <c r="C2166" s="37" t="s">
        <v>489</v>
      </c>
      <c r="E2166">
        <v>10</v>
      </c>
      <c r="F2166" s="37"/>
    </row>
    <row r="2167" spans="2:6" x14ac:dyDescent="0.25">
      <c r="B2167" s="38">
        <v>46081</v>
      </c>
      <c r="C2167" s="37" t="s">
        <v>492</v>
      </c>
      <c r="E2167">
        <v>10</v>
      </c>
      <c r="F2167" s="37"/>
    </row>
    <row r="2168" spans="2:6" x14ac:dyDescent="0.25">
      <c r="B2168" s="38">
        <v>46081</v>
      </c>
      <c r="C2168" s="37" t="s">
        <v>558</v>
      </c>
      <c r="E2168">
        <v>10</v>
      </c>
      <c r="F2168" s="37"/>
    </row>
    <row r="2169" spans="2:6" x14ac:dyDescent="0.25">
      <c r="B2169" s="38">
        <v>46081</v>
      </c>
      <c r="C2169" s="37" t="s">
        <v>527</v>
      </c>
      <c r="E2169">
        <v>10</v>
      </c>
      <c r="F2169" s="37"/>
    </row>
    <row r="2170" spans="2:6" x14ac:dyDescent="0.25">
      <c r="B2170" s="38">
        <v>46081</v>
      </c>
      <c r="C2170" s="37" t="s">
        <v>465</v>
      </c>
      <c r="E2170">
        <v>10</v>
      </c>
      <c r="F2170" s="37"/>
    </row>
    <row r="2171" spans="2:6" x14ac:dyDescent="0.25">
      <c r="B2171" s="38">
        <v>46081</v>
      </c>
      <c r="C2171" s="37" t="s">
        <v>468</v>
      </c>
      <c r="E2171">
        <v>10</v>
      </c>
      <c r="F2171" s="37"/>
    </row>
    <row r="2172" spans="2:6" x14ac:dyDescent="0.25">
      <c r="B2172" s="38">
        <v>46081</v>
      </c>
      <c r="C2172" s="37" t="s">
        <v>571</v>
      </c>
      <c r="E2172">
        <v>10</v>
      </c>
      <c r="F2172" s="37"/>
    </row>
    <row r="2173" spans="2:6" x14ac:dyDescent="0.25">
      <c r="B2173" s="38">
        <v>46081</v>
      </c>
      <c r="C2173" s="37" t="s">
        <v>637</v>
      </c>
      <c r="E2173">
        <v>10</v>
      </c>
      <c r="F2173" s="37"/>
    </row>
    <row r="2174" spans="2:6" x14ac:dyDescent="0.25">
      <c r="B2174" s="38">
        <v>46081</v>
      </c>
      <c r="C2174" s="37" t="s">
        <v>419</v>
      </c>
      <c r="E2174">
        <v>10</v>
      </c>
      <c r="F2174" s="37"/>
    </row>
    <row r="2175" spans="2:6" x14ac:dyDescent="0.25">
      <c r="B2175" s="38">
        <v>46081</v>
      </c>
      <c r="C2175" s="37" t="s">
        <v>599</v>
      </c>
      <c r="E2175">
        <v>20</v>
      </c>
      <c r="F2175" s="37"/>
    </row>
    <row r="2176" spans="2:6" x14ac:dyDescent="0.25">
      <c r="B2176" s="38">
        <v>46081</v>
      </c>
      <c r="C2176" s="37" t="s">
        <v>499</v>
      </c>
      <c r="E2176">
        <v>15</v>
      </c>
      <c r="F2176" s="37"/>
    </row>
    <row r="2177" spans="2:6" x14ac:dyDescent="0.25">
      <c r="B2177" s="38">
        <v>46081</v>
      </c>
      <c r="C2177" s="37" t="s">
        <v>636</v>
      </c>
      <c r="E2177">
        <v>10</v>
      </c>
      <c r="F2177" s="37"/>
    </row>
    <row r="2178" spans="2:6" x14ac:dyDescent="0.25">
      <c r="B2178" s="38">
        <v>46081</v>
      </c>
      <c r="C2178" s="37" t="s">
        <v>171</v>
      </c>
      <c r="E2178">
        <v>10</v>
      </c>
      <c r="F2178" s="37"/>
    </row>
    <row r="2179" spans="2:6" x14ac:dyDescent="0.25">
      <c r="B2179" s="38">
        <v>46081</v>
      </c>
      <c r="C2179" s="37" t="s">
        <v>523</v>
      </c>
      <c r="E2179">
        <v>5</v>
      </c>
      <c r="F2179" s="37"/>
    </row>
    <row r="2180" spans="2:6" x14ac:dyDescent="0.25">
      <c r="B2180" s="38">
        <v>46081</v>
      </c>
      <c r="C2180" s="37" t="s">
        <v>677</v>
      </c>
      <c r="E2180">
        <v>5</v>
      </c>
      <c r="F2180" s="37"/>
    </row>
    <row r="2181" spans="2:6" x14ac:dyDescent="0.25">
      <c r="B2181" s="38">
        <v>46081</v>
      </c>
      <c r="C2181" s="37" t="s">
        <v>552</v>
      </c>
      <c r="E2181">
        <v>15</v>
      </c>
      <c r="F2181" s="37"/>
    </row>
    <row r="2182" spans="2:6" x14ac:dyDescent="0.25">
      <c r="B2182" s="38">
        <v>46081</v>
      </c>
      <c r="C2182" s="37" t="s">
        <v>124</v>
      </c>
      <c r="E2182">
        <v>8</v>
      </c>
      <c r="F2182" s="37"/>
    </row>
    <row r="2183" spans="2:6" x14ac:dyDescent="0.25">
      <c r="B2183" s="38">
        <v>46085</v>
      </c>
      <c r="C2183" s="37" t="s">
        <v>289</v>
      </c>
      <c r="E2183">
        <v>2</v>
      </c>
      <c r="F2183" s="37"/>
    </row>
    <row r="2184" spans="2:6" x14ac:dyDescent="0.25">
      <c r="B2184" s="38">
        <v>46086</v>
      </c>
      <c r="C2184" t="s">
        <v>286</v>
      </c>
      <c r="E2184">
        <v>9</v>
      </c>
      <c r="F2184" s="37" t="s">
        <v>685</v>
      </c>
    </row>
    <row r="2185" spans="2:6" x14ac:dyDescent="0.25">
      <c r="B2185" s="38">
        <v>46086</v>
      </c>
      <c r="C2185" t="s">
        <v>279</v>
      </c>
      <c r="E2185">
        <v>9</v>
      </c>
      <c r="F2185" s="37" t="s">
        <v>685</v>
      </c>
    </row>
    <row r="2186" spans="2:6" x14ac:dyDescent="0.25">
      <c r="B2186" s="38">
        <v>46086</v>
      </c>
      <c r="C2186" t="s">
        <v>157</v>
      </c>
      <c r="E2186">
        <v>3</v>
      </c>
      <c r="F2186" s="37" t="s">
        <v>685</v>
      </c>
    </row>
    <row r="2187" spans="2:6" x14ac:dyDescent="0.25">
      <c r="B2187" s="38">
        <v>46086</v>
      </c>
      <c r="C2187" t="s">
        <v>242</v>
      </c>
      <c r="E2187">
        <v>51</v>
      </c>
      <c r="F2187" s="37" t="s">
        <v>685</v>
      </c>
    </row>
    <row r="2188" spans="2:6" x14ac:dyDescent="0.25">
      <c r="B2188" s="38">
        <v>46086</v>
      </c>
      <c r="C2188" t="s">
        <v>150</v>
      </c>
      <c r="E2188">
        <v>35</v>
      </c>
      <c r="F2188" s="37" t="s">
        <v>685</v>
      </c>
    </row>
    <row r="2189" spans="2:6" x14ac:dyDescent="0.25">
      <c r="B2189" s="38">
        <v>46090</v>
      </c>
      <c r="C2189" t="s">
        <v>599</v>
      </c>
      <c r="E2189">
        <v>20</v>
      </c>
      <c r="F2189" s="37"/>
    </row>
    <row r="2190" spans="2:6" x14ac:dyDescent="0.25">
      <c r="B2190" s="38">
        <v>46094</v>
      </c>
      <c r="C2190" t="s">
        <v>489</v>
      </c>
      <c r="E2190">
        <v>10</v>
      </c>
      <c r="F2190" s="37"/>
    </row>
    <row r="2191" spans="2:6" x14ac:dyDescent="0.25">
      <c r="B2191" s="38">
        <v>46094</v>
      </c>
      <c r="C2191" t="s">
        <v>599</v>
      </c>
      <c r="E2191">
        <v>10</v>
      </c>
      <c r="F2191" s="37"/>
    </row>
    <row r="2192" spans="2:6" x14ac:dyDescent="0.25">
      <c r="B2192" s="38">
        <v>46094</v>
      </c>
      <c r="C2192" t="s">
        <v>603</v>
      </c>
      <c r="E2192">
        <v>52</v>
      </c>
      <c r="F2192" s="37"/>
    </row>
    <row r="2193" spans="2:6" x14ac:dyDescent="0.25">
      <c r="B2193" s="38">
        <v>46094</v>
      </c>
      <c r="C2193" t="s">
        <v>558</v>
      </c>
      <c r="E2193">
        <v>10</v>
      </c>
      <c r="F2193" s="37"/>
    </row>
    <row r="2194" spans="2:6" x14ac:dyDescent="0.25">
      <c r="B2194" s="38">
        <v>46094</v>
      </c>
      <c r="C2194" t="s">
        <v>492</v>
      </c>
      <c r="E2194">
        <v>10</v>
      </c>
      <c r="F2194" s="37"/>
    </row>
    <row r="2195" spans="2:6" x14ac:dyDescent="0.25">
      <c r="B2195" s="38">
        <v>46094</v>
      </c>
      <c r="C2195" t="s">
        <v>624</v>
      </c>
      <c r="E2195">
        <v>15</v>
      </c>
      <c r="F2195" s="37"/>
    </row>
    <row r="2196" spans="2:6" x14ac:dyDescent="0.25">
      <c r="B2196" s="38">
        <v>46094</v>
      </c>
      <c r="C2196" t="s">
        <v>625</v>
      </c>
      <c r="E2196">
        <v>15</v>
      </c>
      <c r="F2196" s="37"/>
    </row>
    <row r="2197" spans="2:6" x14ac:dyDescent="0.25">
      <c r="B2197" s="38">
        <v>46094</v>
      </c>
      <c r="C2197" t="s">
        <v>617</v>
      </c>
      <c r="E2197">
        <v>10</v>
      </c>
      <c r="F2197" s="37"/>
    </row>
    <row r="2198" spans="2:6" x14ac:dyDescent="0.25">
      <c r="B2198" s="38">
        <v>46094</v>
      </c>
      <c r="C2198" t="s">
        <v>452</v>
      </c>
      <c r="E2198">
        <v>15</v>
      </c>
      <c r="F2198" s="37"/>
    </row>
    <row r="2199" spans="2:6" x14ac:dyDescent="0.25">
      <c r="B2199" s="38">
        <v>46094</v>
      </c>
      <c r="C2199" t="s">
        <v>397</v>
      </c>
      <c r="E2199">
        <v>15</v>
      </c>
      <c r="F2199" s="37"/>
    </row>
    <row r="2200" spans="2:6" x14ac:dyDescent="0.25">
      <c r="B2200" s="38">
        <v>46094</v>
      </c>
      <c r="C2200" t="s">
        <v>138</v>
      </c>
      <c r="E2200">
        <v>10</v>
      </c>
      <c r="F2200" s="37"/>
    </row>
    <row r="2201" spans="2:6" x14ac:dyDescent="0.25">
      <c r="B2201" s="38">
        <v>46094</v>
      </c>
      <c r="C2201" t="s">
        <v>419</v>
      </c>
      <c r="E2201">
        <v>10</v>
      </c>
      <c r="F2201" s="37"/>
    </row>
    <row r="2202" spans="2:6" x14ac:dyDescent="0.25">
      <c r="B2202" s="38">
        <v>46094</v>
      </c>
      <c r="C2202" t="s">
        <v>146</v>
      </c>
      <c r="E2202">
        <v>8</v>
      </c>
      <c r="F2202" s="37"/>
    </row>
    <row r="2203" spans="2:6" x14ac:dyDescent="0.25">
      <c r="B2203" s="38">
        <v>46094</v>
      </c>
      <c r="C2203" t="s">
        <v>600</v>
      </c>
      <c r="E2203">
        <v>10</v>
      </c>
      <c r="F2203" s="37"/>
    </row>
    <row r="2204" spans="2:6" x14ac:dyDescent="0.25">
      <c r="B2204" s="38">
        <v>46094</v>
      </c>
      <c r="C2204" t="s">
        <v>155</v>
      </c>
      <c r="E2204">
        <v>10</v>
      </c>
      <c r="F2204" s="37"/>
    </row>
    <row r="2205" spans="2:6" x14ac:dyDescent="0.25">
      <c r="B2205" s="38">
        <v>46094</v>
      </c>
      <c r="C2205" t="s">
        <v>171</v>
      </c>
      <c r="E2205">
        <v>15</v>
      </c>
      <c r="F2205" s="37"/>
    </row>
    <row r="2206" spans="2:6" x14ac:dyDescent="0.25">
      <c r="B2206" s="38">
        <v>46094</v>
      </c>
      <c r="C2206" t="s">
        <v>445</v>
      </c>
      <c r="E2206">
        <v>10</v>
      </c>
      <c r="F2206" s="37"/>
    </row>
    <row r="2207" spans="2:6" x14ac:dyDescent="0.25">
      <c r="B2207" s="38">
        <v>46094</v>
      </c>
      <c r="C2207" t="s">
        <v>443</v>
      </c>
      <c r="E2207">
        <v>10</v>
      </c>
      <c r="F2207" s="37"/>
    </row>
    <row r="2208" spans="2:6" x14ac:dyDescent="0.25">
      <c r="B2208" s="38">
        <v>46094</v>
      </c>
      <c r="C2208" t="s">
        <v>525</v>
      </c>
      <c r="E2208">
        <v>20</v>
      </c>
      <c r="F2208" s="37"/>
    </row>
    <row r="2209" spans="2:6" x14ac:dyDescent="0.25">
      <c r="B2209" s="38">
        <v>46094</v>
      </c>
      <c r="C2209" t="s">
        <v>471</v>
      </c>
      <c r="E2209">
        <v>10</v>
      </c>
      <c r="F2209" s="37"/>
    </row>
    <row r="2210" spans="2:6" x14ac:dyDescent="0.25">
      <c r="B2210" s="38">
        <v>46094</v>
      </c>
      <c r="C2210" t="s">
        <v>533</v>
      </c>
      <c r="E2210">
        <v>5</v>
      </c>
      <c r="F2210" s="37"/>
    </row>
    <row r="2211" spans="2:6" x14ac:dyDescent="0.25">
      <c r="B2211" s="38">
        <v>46094</v>
      </c>
      <c r="C2211" t="s">
        <v>465</v>
      </c>
      <c r="E2211">
        <v>10</v>
      </c>
      <c r="F2211" s="37"/>
    </row>
    <row r="2212" spans="2:6" x14ac:dyDescent="0.25">
      <c r="B2212" s="38">
        <v>46094</v>
      </c>
      <c r="C2212" t="s">
        <v>593</v>
      </c>
      <c r="E2212">
        <v>10</v>
      </c>
      <c r="F2212" s="37"/>
    </row>
    <row r="2213" spans="2:6" x14ac:dyDescent="0.25">
      <c r="B2213" s="38">
        <v>46094</v>
      </c>
      <c r="C2213" t="s">
        <v>569</v>
      </c>
      <c r="E2213">
        <v>10</v>
      </c>
      <c r="F2213" s="37"/>
    </row>
    <row r="2214" spans="2:6" x14ac:dyDescent="0.25">
      <c r="B2214" s="38">
        <v>46094</v>
      </c>
      <c r="C2214" t="s">
        <v>124</v>
      </c>
      <c r="E2214">
        <v>10</v>
      </c>
      <c r="F2214" s="37"/>
    </row>
    <row r="2215" spans="2:6" x14ac:dyDescent="0.25">
      <c r="B2215" s="38">
        <v>46094</v>
      </c>
      <c r="C2215" t="s">
        <v>530</v>
      </c>
      <c r="E2215">
        <v>1</v>
      </c>
      <c r="F2215" s="37"/>
    </row>
    <row r="2216" spans="2:6" x14ac:dyDescent="0.25">
      <c r="B2216" s="38">
        <v>46094</v>
      </c>
      <c r="C2216" t="s">
        <v>159</v>
      </c>
      <c r="E2216">
        <v>5</v>
      </c>
      <c r="F2216" s="37"/>
    </row>
    <row r="2217" spans="2:6" x14ac:dyDescent="0.25">
      <c r="B2217" s="38">
        <v>46094</v>
      </c>
      <c r="C2217" t="s">
        <v>317</v>
      </c>
      <c r="E2217">
        <v>5</v>
      </c>
      <c r="F2217" s="37"/>
    </row>
    <row r="2218" spans="2:6" x14ac:dyDescent="0.25">
      <c r="B2218" s="38">
        <v>46097</v>
      </c>
      <c r="C2218" t="s">
        <v>608</v>
      </c>
      <c r="E2218">
        <v>5</v>
      </c>
      <c r="F2218" s="37"/>
    </row>
    <row r="2219" spans="2:6" x14ac:dyDescent="0.25">
      <c r="B2219" s="38">
        <v>46097</v>
      </c>
      <c r="C2219" t="s">
        <v>642</v>
      </c>
      <c r="E2219">
        <v>5</v>
      </c>
      <c r="F2219" s="37"/>
    </row>
    <row r="2220" spans="2:6" x14ac:dyDescent="0.25">
      <c r="B2220" s="38">
        <v>46108</v>
      </c>
      <c r="C2220" t="s">
        <v>634</v>
      </c>
      <c r="E2220">
        <v>1</v>
      </c>
      <c r="F2220" s="37"/>
    </row>
    <row r="2221" spans="2:6" x14ac:dyDescent="0.25">
      <c r="B2221" s="38">
        <v>46108</v>
      </c>
      <c r="C2221" t="s">
        <v>566</v>
      </c>
      <c r="E2221">
        <v>18</v>
      </c>
      <c r="F2221" s="37"/>
    </row>
    <row r="2222" spans="2:6" x14ac:dyDescent="0.25">
      <c r="B2222" s="38">
        <v>46109</v>
      </c>
      <c r="C2222" t="s">
        <v>223</v>
      </c>
      <c r="E2222">
        <v>5</v>
      </c>
      <c r="F2222" s="37"/>
    </row>
    <row r="2223" spans="2:6" x14ac:dyDescent="0.25">
      <c r="B2223" s="38">
        <v>46109</v>
      </c>
      <c r="C2223" t="s">
        <v>588</v>
      </c>
      <c r="E2223">
        <v>10</v>
      </c>
      <c r="F2223" s="37"/>
    </row>
    <row r="2224" spans="2:6" x14ac:dyDescent="0.25">
      <c r="B2224" s="38">
        <v>46109</v>
      </c>
      <c r="C2224" t="s">
        <v>493</v>
      </c>
      <c r="E2224">
        <v>10</v>
      </c>
      <c r="F2224" s="37"/>
    </row>
    <row r="2225" spans="2:6" x14ac:dyDescent="0.25">
      <c r="B2225" s="38">
        <v>46109</v>
      </c>
      <c r="C2225" t="s">
        <v>562</v>
      </c>
      <c r="E2225">
        <v>10</v>
      </c>
      <c r="F2225" s="37"/>
    </row>
    <row r="2226" spans="2:6" x14ac:dyDescent="0.25">
      <c r="B2226" s="38">
        <v>46109</v>
      </c>
      <c r="C2226" t="s">
        <v>550</v>
      </c>
      <c r="E2226">
        <v>10</v>
      </c>
      <c r="F2226" s="37"/>
    </row>
    <row r="2227" spans="2:6" x14ac:dyDescent="0.25">
      <c r="B2227" s="38">
        <v>46109</v>
      </c>
      <c r="C2227" t="s">
        <v>541</v>
      </c>
      <c r="E2227">
        <v>10</v>
      </c>
      <c r="F2227" s="37"/>
    </row>
    <row r="2228" spans="2:6" x14ac:dyDescent="0.25">
      <c r="B2228" s="38">
        <v>46109</v>
      </c>
      <c r="C2228" t="s">
        <v>171</v>
      </c>
      <c r="E2228">
        <v>10</v>
      </c>
      <c r="F2228" s="37"/>
    </row>
    <row r="2229" spans="2:6" x14ac:dyDescent="0.25">
      <c r="B2229" s="38">
        <v>46109</v>
      </c>
      <c r="C2229" t="s">
        <v>445</v>
      </c>
      <c r="E2229">
        <v>10</v>
      </c>
      <c r="F2229" s="37"/>
    </row>
    <row r="2230" spans="2:6" x14ac:dyDescent="0.25">
      <c r="B2230" s="38">
        <v>46109</v>
      </c>
      <c r="C2230" t="s">
        <v>443</v>
      </c>
      <c r="E2230">
        <v>10</v>
      </c>
      <c r="F2230" s="37"/>
    </row>
    <row r="2231" spans="2:6" x14ac:dyDescent="0.25">
      <c r="B2231" s="38">
        <v>46109</v>
      </c>
      <c r="C2231" t="s">
        <v>160</v>
      </c>
      <c r="E2231">
        <v>2</v>
      </c>
      <c r="F2231" s="37"/>
    </row>
    <row r="2232" spans="2:6" x14ac:dyDescent="0.25">
      <c r="B2232" s="38">
        <v>46109</v>
      </c>
      <c r="C2232" t="s">
        <v>575</v>
      </c>
      <c r="E2232">
        <v>10</v>
      </c>
      <c r="F2232" s="37"/>
    </row>
    <row r="2233" spans="2:6" x14ac:dyDescent="0.25">
      <c r="B2233" s="38">
        <v>46109</v>
      </c>
      <c r="C2233" t="s">
        <v>142</v>
      </c>
      <c r="E2233">
        <v>10</v>
      </c>
      <c r="F2233" s="37"/>
    </row>
    <row r="2234" spans="2:6" x14ac:dyDescent="0.25">
      <c r="B2234" s="38">
        <v>46109</v>
      </c>
      <c r="C2234" t="s">
        <v>421</v>
      </c>
      <c r="E2234">
        <v>10</v>
      </c>
      <c r="F2234" s="37"/>
    </row>
    <row r="2235" spans="2:6" x14ac:dyDescent="0.25">
      <c r="B2235" s="38">
        <v>46109</v>
      </c>
      <c r="C2235" t="s">
        <v>496</v>
      </c>
      <c r="E2235">
        <v>10</v>
      </c>
      <c r="F2235" s="37"/>
    </row>
    <row r="2236" spans="2:6" x14ac:dyDescent="0.25">
      <c r="B2236" s="38">
        <v>46109</v>
      </c>
      <c r="C2236" t="s">
        <v>468</v>
      </c>
      <c r="E2236">
        <v>10</v>
      </c>
      <c r="F2236" s="37"/>
    </row>
    <row r="2237" spans="2:6" x14ac:dyDescent="0.25">
      <c r="B2237" s="38">
        <v>46109</v>
      </c>
      <c r="C2237" t="s">
        <v>414</v>
      </c>
      <c r="E2237">
        <v>10</v>
      </c>
      <c r="F2237" s="37"/>
    </row>
    <row r="2238" spans="2:6" x14ac:dyDescent="0.25">
      <c r="B2238" s="38">
        <v>46109</v>
      </c>
      <c r="C2238" t="s">
        <v>466</v>
      </c>
      <c r="E2238">
        <v>10</v>
      </c>
      <c r="F2238" s="37"/>
    </row>
    <row r="2239" spans="2:6" x14ac:dyDescent="0.25">
      <c r="B2239" s="38">
        <v>46109</v>
      </c>
      <c r="C2239" t="s">
        <v>473</v>
      </c>
      <c r="E2239">
        <v>10</v>
      </c>
      <c r="F2239" s="37"/>
    </row>
    <row r="2240" spans="2:6" x14ac:dyDescent="0.25">
      <c r="B2240" s="38">
        <v>46109</v>
      </c>
      <c r="C2240" t="s">
        <v>506</v>
      </c>
      <c r="E2240">
        <v>5</v>
      </c>
      <c r="F2240" s="37"/>
    </row>
    <row r="2241" spans="2:6" x14ac:dyDescent="0.25">
      <c r="B2241" s="38">
        <v>46109</v>
      </c>
      <c r="C2241" t="s">
        <v>378</v>
      </c>
      <c r="E2241">
        <v>5</v>
      </c>
      <c r="F2241" s="37"/>
    </row>
    <row r="2242" spans="2:6" x14ac:dyDescent="0.25">
      <c r="B2242" s="38">
        <v>46109</v>
      </c>
      <c r="C2242" t="s">
        <v>603</v>
      </c>
      <c r="E2242">
        <v>29</v>
      </c>
      <c r="F2242" s="37"/>
    </row>
    <row r="2243" spans="2:6" x14ac:dyDescent="0.25">
      <c r="B2243" s="38">
        <v>46109</v>
      </c>
      <c r="C2243" t="s">
        <v>470</v>
      </c>
      <c r="E2243">
        <v>10</v>
      </c>
      <c r="F2243" s="37"/>
    </row>
    <row r="2244" spans="2:6" x14ac:dyDescent="0.25">
      <c r="B2244" s="38">
        <v>46109</v>
      </c>
      <c r="C2244" t="s">
        <v>140</v>
      </c>
      <c r="E2244">
        <v>10</v>
      </c>
      <c r="F2244" s="37"/>
    </row>
    <row r="2245" spans="2:6" x14ac:dyDescent="0.25">
      <c r="B2245" s="38">
        <v>46109</v>
      </c>
      <c r="C2245" t="s">
        <v>139</v>
      </c>
      <c r="E2245">
        <v>10</v>
      </c>
      <c r="F2245" s="37"/>
    </row>
    <row r="2246" spans="2:6" x14ac:dyDescent="0.25">
      <c r="B2246" s="38">
        <v>46109</v>
      </c>
      <c r="C2246" t="s">
        <v>602</v>
      </c>
      <c r="E2246">
        <v>10</v>
      </c>
      <c r="F2246" s="37"/>
    </row>
    <row r="2247" spans="2:6" x14ac:dyDescent="0.25">
      <c r="B2247" s="38">
        <v>46109</v>
      </c>
      <c r="C2247" t="s">
        <v>149</v>
      </c>
      <c r="E2247">
        <v>2</v>
      </c>
      <c r="F2247" s="37"/>
    </row>
    <row r="2248" spans="2:6" x14ac:dyDescent="0.25">
      <c r="B2248" s="38">
        <v>46109</v>
      </c>
      <c r="C2248" t="s">
        <v>419</v>
      </c>
      <c r="E2248">
        <v>5</v>
      </c>
      <c r="F2248" s="37"/>
    </row>
    <row r="2249" spans="2:6" x14ac:dyDescent="0.25">
      <c r="B2249" s="38">
        <v>46109</v>
      </c>
      <c r="C2249" t="s">
        <v>615</v>
      </c>
      <c r="E2249">
        <v>5</v>
      </c>
      <c r="F2249" s="37"/>
    </row>
    <row r="2250" spans="2:6" x14ac:dyDescent="0.25">
      <c r="B2250" s="38">
        <v>46109</v>
      </c>
      <c r="C2250" t="s">
        <v>625</v>
      </c>
      <c r="E2250">
        <v>10</v>
      </c>
      <c r="F2250" s="37"/>
    </row>
    <row r="2251" spans="2:6" x14ac:dyDescent="0.25">
      <c r="B2251" s="38">
        <v>46109</v>
      </c>
      <c r="C2251" t="s">
        <v>527</v>
      </c>
      <c r="E2251">
        <v>10</v>
      </c>
      <c r="F2251" s="37"/>
    </row>
    <row r="2252" spans="2:6" x14ac:dyDescent="0.25">
      <c r="B2252" s="38">
        <v>46109</v>
      </c>
      <c r="C2252" t="s">
        <v>632</v>
      </c>
      <c r="E2252">
        <v>1</v>
      </c>
      <c r="F2252" s="37"/>
    </row>
    <row r="2253" spans="2:6" x14ac:dyDescent="0.25">
      <c r="B2253" s="38">
        <v>46109</v>
      </c>
      <c r="C2253" t="s">
        <v>571</v>
      </c>
      <c r="E2253">
        <v>10</v>
      </c>
      <c r="F2253" s="37"/>
    </row>
    <row r="2254" spans="2:6" x14ac:dyDescent="0.25">
      <c r="B2254" s="38">
        <v>46109</v>
      </c>
      <c r="C2254" t="s">
        <v>145</v>
      </c>
      <c r="E2254">
        <v>5</v>
      </c>
      <c r="F2254" s="37"/>
    </row>
    <row r="2255" spans="2:6" x14ac:dyDescent="0.25">
      <c r="B2255" s="38">
        <v>46111</v>
      </c>
      <c r="C2255" t="s">
        <v>611</v>
      </c>
      <c r="E2255">
        <v>6</v>
      </c>
      <c r="F2255" s="37"/>
    </row>
    <row r="2256" spans="2:6" x14ac:dyDescent="0.25">
      <c r="B2256" s="38">
        <v>46111</v>
      </c>
      <c r="C2256" t="s">
        <v>608</v>
      </c>
      <c r="E2256">
        <v>10</v>
      </c>
      <c r="F2256" s="37"/>
    </row>
    <row r="2257" spans="2:6" x14ac:dyDescent="0.25">
      <c r="B2257" s="38">
        <v>46111</v>
      </c>
      <c r="C2257" t="s">
        <v>170</v>
      </c>
      <c r="E2257">
        <v>2</v>
      </c>
      <c r="F2257" s="37"/>
    </row>
    <row r="2258" spans="2:6" x14ac:dyDescent="0.25">
      <c r="B2258" s="38">
        <v>46111</v>
      </c>
      <c r="C2258" t="s">
        <v>577</v>
      </c>
      <c r="E2258">
        <v>1</v>
      </c>
      <c r="F2258" s="37"/>
    </row>
    <row r="2259" spans="2:6" x14ac:dyDescent="0.25">
      <c r="B2259" s="38">
        <v>46113</v>
      </c>
      <c r="C2259" t="s">
        <v>465</v>
      </c>
      <c r="E2259">
        <v>10</v>
      </c>
      <c r="F2259" s="37"/>
    </row>
    <row r="2260" spans="2:6" x14ac:dyDescent="0.25">
      <c r="B2260" s="38">
        <v>46113</v>
      </c>
      <c r="C2260" t="s">
        <v>593</v>
      </c>
      <c r="E2260">
        <v>10</v>
      </c>
      <c r="F2260" s="37"/>
    </row>
    <row r="2261" spans="2:6" x14ac:dyDescent="0.25">
      <c r="B2261" s="38">
        <v>46113</v>
      </c>
      <c r="C2261" t="s">
        <v>569</v>
      </c>
      <c r="E2261">
        <v>10</v>
      </c>
      <c r="F2261" s="37"/>
    </row>
    <row r="2262" spans="2:6" x14ac:dyDescent="0.25">
      <c r="B2262" s="38">
        <v>46113</v>
      </c>
      <c r="C2262" t="s">
        <v>595</v>
      </c>
      <c r="E2262">
        <v>5</v>
      </c>
      <c r="F2262" s="37"/>
    </row>
    <row r="2263" spans="2:6" x14ac:dyDescent="0.25">
      <c r="B2263" s="38">
        <v>46113</v>
      </c>
      <c r="C2263" t="s">
        <v>530</v>
      </c>
      <c r="E2263">
        <v>1</v>
      </c>
      <c r="F2263" s="37"/>
    </row>
    <row r="2264" spans="2:6" x14ac:dyDescent="0.25">
      <c r="B2264" s="38">
        <v>46113</v>
      </c>
      <c r="C2264" t="s">
        <v>272</v>
      </c>
      <c r="E2264">
        <v>5</v>
      </c>
      <c r="F2264" s="37"/>
    </row>
    <row r="2265" spans="2:6" x14ac:dyDescent="0.25">
      <c r="B2265" s="38">
        <v>46113</v>
      </c>
      <c r="C2265" t="s">
        <v>489</v>
      </c>
      <c r="E2265">
        <v>10</v>
      </c>
      <c r="F2265" s="37"/>
    </row>
    <row r="2266" spans="2:6" x14ac:dyDescent="0.25">
      <c r="B2266" s="38">
        <v>46113</v>
      </c>
      <c r="C2266" t="s">
        <v>471</v>
      </c>
      <c r="E2266">
        <v>10</v>
      </c>
      <c r="F2266" s="37"/>
    </row>
    <row r="2267" spans="2:6" x14ac:dyDescent="0.25">
      <c r="B2267" s="38">
        <v>46113</v>
      </c>
      <c r="C2267" t="s">
        <v>499</v>
      </c>
      <c r="E2267">
        <v>10</v>
      </c>
      <c r="F2267" s="37"/>
    </row>
    <row r="2268" spans="2:6" x14ac:dyDescent="0.25">
      <c r="B2268" s="38">
        <v>46113</v>
      </c>
      <c r="C2268" t="s">
        <v>619</v>
      </c>
      <c r="E2268">
        <v>10</v>
      </c>
      <c r="F2268" s="37"/>
    </row>
    <row r="2269" spans="2:6" x14ac:dyDescent="0.25">
      <c r="B2269" s="38">
        <v>46113</v>
      </c>
      <c r="C2269" t="s">
        <v>625</v>
      </c>
      <c r="E2269">
        <v>15</v>
      </c>
      <c r="F2269" s="37"/>
    </row>
    <row r="2270" spans="2:6" x14ac:dyDescent="0.25">
      <c r="B2270" s="38">
        <v>46113</v>
      </c>
      <c r="C2270" t="s">
        <v>145</v>
      </c>
      <c r="E2270">
        <v>10</v>
      </c>
      <c r="F2270" s="37"/>
    </row>
    <row r="2271" spans="2:6" x14ac:dyDescent="0.25">
      <c r="B2271" s="38">
        <v>46113</v>
      </c>
      <c r="C2271" t="s">
        <v>573</v>
      </c>
      <c r="E2271">
        <v>5</v>
      </c>
      <c r="F2271" s="37"/>
    </row>
    <row r="2272" spans="2:6" x14ac:dyDescent="0.25">
      <c r="B2272" s="38">
        <v>46114</v>
      </c>
      <c r="C2272" t="s">
        <v>599</v>
      </c>
      <c r="D2272">
        <v>50</v>
      </c>
      <c r="F2272" s="37" t="s">
        <v>481</v>
      </c>
    </row>
    <row r="2273" spans="2:6" x14ac:dyDescent="0.25">
      <c r="B2273" s="38">
        <v>46114</v>
      </c>
      <c r="C2273" t="s">
        <v>443</v>
      </c>
      <c r="D2273">
        <v>10</v>
      </c>
      <c r="F2273" s="37" t="s">
        <v>481</v>
      </c>
    </row>
    <row r="2274" spans="2:6" x14ac:dyDescent="0.25">
      <c r="B2274" s="38">
        <v>46115</v>
      </c>
      <c r="C2274" t="s">
        <v>499</v>
      </c>
      <c r="D2274">
        <v>30</v>
      </c>
      <c r="F2274" s="37" t="s">
        <v>500</v>
      </c>
    </row>
    <row r="2275" spans="2:6" x14ac:dyDescent="0.25">
      <c r="B2275" s="38">
        <v>46115</v>
      </c>
      <c r="C2275" t="s">
        <v>250</v>
      </c>
      <c r="E2275">
        <v>20</v>
      </c>
      <c r="F2275" s="37"/>
    </row>
    <row r="2276" spans="2:6" x14ac:dyDescent="0.25">
      <c r="B2276" s="38">
        <v>46115</v>
      </c>
      <c r="C2276" t="s">
        <v>491</v>
      </c>
      <c r="E2276">
        <v>10</v>
      </c>
      <c r="F2276" s="37"/>
    </row>
    <row r="2277" spans="2:6" x14ac:dyDescent="0.25">
      <c r="B2277" s="38">
        <v>46115</v>
      </c>
      <c r="C2277" t="s">
        <v>497</v>
      </c>
      <c r="E2277">
        <v>20</v>
      </c>
      <c r="F2277" s="37"/>
    </row>
    <row r="2278" spans="2:6" x14ac:dyDescent="0.25">
      <c r="B2278" s="38">
        <v>46115</v>
      </c>
      <c r="C2278" t="s">
        <v>566</v>
      </c>
      <c r="E2278">
        <v>20</v>
      </c>
      <c r="F2278" s="37"/>
    </row>
    <row r="2279" spans="2:6" x14ac:dyDescent="0.25">
      <c r="B2279" s="38">
        <v>46115</v>
      </c>
      <c r="C2279" t="s">
        <v>639</v>
      </c>
      <c r="E2279">
        <v>10</v>
      </c>
      <c r="F2279" s="37"/>
    </row>
    <row r="2280" spans="2:6" x14ac:dyDescent="0.25">
      <c r="B2280" s="38">
        <v>46115</v>
      </c>
      <c r="C2280" t="s">
        <v>525</v>
      </c>
      <c r="E2280">
        <v>1</v>
      </c>
      <c r="F2280" s="37"/>
    </row>
    <row r="2281" spans="2:6" x14ac:dyDescent="0.25">
      <c r="B2281" s="38">
        <v>46116</v>
      </c>
      <c r="C2281" t="s">
        <v>686</v>
      </c>
      <c r="D2281">
        <v>20</v>
      </c>
      <c r="F2281" s="37" t="s">
        <v>690</v>
      </c>
    </row>
    <row r="2282" spans="2:6" x14ac:dyDescent="0.25">
      <c r="B2282" s="38">
        <v>46116</v>
      </c>
      <c r="C2282" t="s">
        <v>689</v>
      </c>
      <c r="D2282">
        <v>10</v>
      </c>
      <c r="F2282" s="37" t="s">
        <v>563</v>
      </c>
    </row>
    <row r="2283" spans="2:6" x14ac:dyDescent="0.25">
      <c r="B2283" s="38">
        <v>46116</v>
      </c>
      <c r="C2283" t="s">
        <v>688</v>
      </c>
      <c r="D2283">
        <v>2</v>
      </c>
      <c r="F2283" s="37" t="s">
        <v>563</v>
      </c>
    </row>
    <row r="2284" spans="2:6" x14ac:dyDescent="0.25">
      <c r="B2284" s="38">
        <v>46116</v>
      </c>
      <c r="C2284" t="s">
        <v>603</v>
      </c>
      <c r="D2284">
        <v>60</v>
      </c>
      <c r="F2284" s="37" t="s">
        <v>563</v>
      </c>
    </row>
    <row r="2285" spans="2:6" x14ac:dyDescent="0.25">
      <c r="B2285" s="38">
        <v>46116</v>
      </c>
      <c r="C2285" t="s">
        <v>557</v>
      </c>
      <c r="D2285">
        <v>30</v>
      </c>
      <c r="F2285" s="37" t="s">
        <v>563</v>
      </c>
    </row>
    <row r="2286" spans="2:6" x14ac:dyDescent="0.25">
      <c r="B2286" s="38">
        <v>46116</v>
      </c>
      <c r="C2286" t="s">
        <v>599</v>
      </c>
      <c r="E2286">
        <v>10</v>
      </c>
      <c r="F2286" s="37"/>
    </row>
    <row r="2287" spans="2:6" x14ac:dyDescent="0.25">
      <c r="B2287" s="38">
        <v>46116</v>
      </c>
      <c r="C2287" t="s">
        <v>496</v>
      </c>
      <c r="D2287">
        <v>20</v>
      </c>
      <c r="F2287" s="37" t="s">
        <v>413</v>
      </c>
    </row>
    <row r="2288" spans="2:6" x14ac:dyDescent="0.25">
      <c r="B2288" s="38">
        <v>46116</v>
      </c>
      <c r="C2288" t="s">
        <v>468</v>
      </c>
      <c r="D2288">
        <v>30</v>
      </c>
      <c r="F2288" s="37" t="s">
        <v>413</v>
      </c>
    </row>
    <row r="2289" spans="2:6" x14ac:dyDescent="0.25">
      <c r="B2289" s="38">
        <v>46116</v>
      </c>
      <c r="C2289" t="s">
        <v>414</v>
      </c>
      <c r="D2289">
        <v>30</v>
      </c>
      <c r="F2289" s="37" t="s">
        <v>413</v>
      </c>
    </row>
    <row r="2290" spans="2:6" x14ac:dyDescent="0.25">
      <c r="B2290" s="38">
        <v>46116</v>
      </c>
      <c r="C2290" t="s">
        <v>465</v>
      </c>
      <c r="D2290">
        <v>10</v>
      </c>
      <c r="F2290" s="37" t="s">
        <v>413</v>
      </c>
    </row>
    <row r="2291" spans="2:6" x14ac:dyDescent="0.25">
      <c r="B2291" s="38">
        <v>46116</v>
      </c>
      <c r="C2291" t="s">
        <v>492</v>
      </c>
      <c r="D2291">
        <v>20</v>
      </c>
      <c r="F2291" s="37" t="s">
        <v>413</v>
      </c>
    </row>
    <row r="2292" spans="2:6" x14ac:dyDescent="0.25">
      <c r="B2292" s="38">
        <v>46116</v>
      </c>
      <c r="C2292" t="s">
        <v>470</v>
      </c>
      <c r="D2292">
        <v>20</v>
      </c>
      <c r="F2292" s="37" t="s">
        <v>413</v>
      </c>
    </row>
    <row r="2293" spans="2:6" x14ac:dyDescent="0.25">
      <c r="B2293" s="38">
        <v>46116</v>
      </c>
      <c r="C2293" t="s">
        <v>566</v>
      </c>
      <c r="D2293">
        <v>60</v>
      </c>
      <c r="F2293" s="37" t="s">
        <v>413</v>
      </c>
    </row>
    <row r="2294" spans="2:6" x14ac:dyDescent="0.25">
      <c r="B2294" s="38">
        <v>46116</v>
      </c>
      <c r="C2294" t="s">
        <v>611</v>
      </c>
      <c r="D2294">
        <v>50</v>
      </c>
      <c r="F2294" s="37" t="s">
        <v>413</v>
      </c>
    </row>
    <row r="2295" spans="2:6" x14ac:dyDescent="0.25">
      <c r="B2295" s="38">
        <v>46116</v>
      </c>
      <c r="C2295" t="s">
        <v>608</v>
      </c>
      <c r="D2295">
        <v>40</v>
      </c>
      <c r="F2295" s="37" t="s">
        <v>413</v>
      </c>
    </row>
    <row r="2296" spans="2:6" x14ac:dyDescent="0.25">
      <c r="B2296" s="38">
        <v>46116</v>
      </c>
      <c r="C2296" t="s">
        <v>569</v>
      </c>
      <c r="D2296">
        <v>20</v>
      </c>
      <c r="F2296" s="37" t="s">
        <v>413</v>
      </c>
    </row>
    <row r="2297" spans="2:6" x14ac:dyDescent="0.25">
      <c r="B2297" s="38">
        <v>46116</v>
      </c>
      <c r="C2297" t="s">
        <v>146</v>
      </c>
      <c r="D2297">
        <v>20</v>
      </c>
      <c r="F2297" s="37" t="s">
        <v>564</v>
      </c>
    </row>
    <row r="2298" spans="2:6" x14ac:dyDescent="0.25">
      <c r="B2298" s="38">
        <v>46116</v>
      </c>
      <c r="C2298" t="s">
        <v>171</v>
      </c>
      <c r="E2298">
        <v>15</v>
      </c>
      <c r="F2298" s="37"/>
    </row>
    <row r="2299" spans="2:6" x14ac:dyDescent="0.25">
      <c r="B2299" s="38">
        <v>46116</v>
      </c>
      <c r="C2299" t="s">
        <v>468</v>
      </c>
      <c r="E2299">
        <v>10</v>
      </c>
      <c r="F2299" s="37"/>
    </row>
    <row r="2300" spans="2:6" x14ac:dyDescent="0.25">
      <c r="B2300" s="38">
        <v>46116</v>
      </c>
      <c r="C2300" t="s">
        <v>124</v>
      </c>
      <c r="E2300">
        <v>15</v>
      </c>
      <c r="F2300" s="37"/>
    </row>
    <row r="2301" spans="2:6" x14ac:dyDescent="0.25">
      <c r="B2301" s="38">
        <v>46116</v>
      </c>
      <c r="C2301" t="s">
        <v>603</v>
      </c>
      <c r="E2301">
        <v>60</v>
      </c>
      <c r="F2301" s="37"/>
    </row>
    <row r="2302" spans="2:6" x14ac:dyDescent="0.25">
      <c r="B2302" s="38">
        <v>46116</v>
      </c>
      <c r="C2302" t="s">
        <v>599</v>
      </c>
      <c r="E2302">
        <v>40</v>
      </c>
      <c r="F2302" s="37"/>
    </row>
    <row r="2303" spans="2:6" x14ac:dyDescent="0.25">
      <c r="B2303" s="38">
        <v>46116</v>
      </c>
      <c r="C2303" t="s">
        <v>421</v>
      </c>
      <c r="E2303">
        <v>15</v>
      </c>
      <c r="F2303" s="37"/>
    </row>
    <row r="2304" spans="2:6" x14ac:dyDescent="0.25">
      <c r="B2304" s="38">
        <v>46116</v>
      </c>
      <c r="C2304" t="s">
        <v>557</v>
      </c>
      <c r="E2304">
        <v>10</v>
      </c>
      <c r="F2304" s="37"/>
    </row>
    <row r="2305" spans="2:6" x14ac:dyDescent="0.25">
      <c r="B2305" s="38">
        <v>46116</v>
      </c>
      <c r="C2305" t="s">
        <v>624</v>
      </c>
      <c r="E2305">
        <v>15</v>
      </c>
      <c r="F2305" s="37"/>
    </row>
    <row r="2306" spans="2:6" x14ac:dyDescent="0.25">
      <c r="B2306" s="38">
        <v>46116</v>
      </c>
      <c r="C2306" t="s">
        <v>689</v>
      </c>
      <c r="E2306">
        <v>5</v>
      </c>
      <c r="F2306" s="37"/>
    </row>
    <row r="2307" spans="2:6" x14ac:dyDescent="0.25">
      <c r="B2307" s="38">
        <v>46116</v>
      </c>
      <c r="C2307" t="s">
        <v>688</v>
      </c>
      <c r="E2307">
        <v>1</v>
      </c>
      <c r="F2307" s="37"/>
    </row>
    <row r="2308" spans="2:6" x14ac:dyDescent="0.25">
      <c r="B2308" s="38">
        <v>46119</v>
      </c>
      <c r="C2308" t="s">
        <v>486</v>
      </c>
      <c r="D2308">
        <v>3</v>
      </c>
      <c r="F2308" s="37" t="s">
        <v>509</v>
      </c>
    </row>
    <row r="2309" spans="2:6" x14ac:dyDescent="0.25">
      <c r="B2309" s="38">
        <v>46119</v>
      </c>
      <c r="C2309" t="s">
        <v>691</v>
      </c>
      <c r="D2309">
        <v>20</v>
      </c>
      <c r="F2309" s="37" t="s">
        <v>509</v>
      </c>
    </row>
    <row r="2310" spans="2:6" x14ac:dyDescent="0.25">
      <c r="B2310" s="38">
        <v>46119</v>
      </c>
      <c r="C2310" t="s">
        <v>625</v>
      </c>
      <c r="D2310">
        <v>20</v>
      </c>
      <c r="F2310" s="37" t="s">
        <v>509</v>
      </c>
    </row>
    <row r="2311" spans="2:6" x14ac:dyDescent="0.25">
      <c r="B2311" s="38">
        <v>46119</v>
      </c>
      <c r="C2311" t="s">
        <v>159</v>
      </c>
      <c r="D2311">
        <v>10</v>
      </c>
      <c r="F2311" s="37" t="s">
        <v>509</v>
      </c>
    </row>
    <row r="2312" spans="2:6" x14ac:dyDescent="0.25">
      <c r="B2312" s="38">
        <v>46119</v>
      </c>
      <c r="C2312" t="s">
        <v>588</v>
      </c>
      <c r="D2312">
        <v>30</v>
      </c>
      <c r="F2312" s="37" t="s">
        <v>509</v>
      </c>
    </row>
    <row r="2313" spans="2:6" x14ac:dyDescent="0.25">
      <c r="B2313" s="38">
        <v>46119</v>
      </c>
      <c r="C2313" t="s">
        <v>593</v>
      </c>
      <c r="D2313">
        <v>30</v>
      </c>
      <c r="F2313" s="37" t="s">
        <v>509</v>
      </c>
    </row>
    <row r="2314" spans="2:6" x14ac:dyDescent="0.25">
      <c r="B2314" s="38">
        <v>46119</v>
      </c>
      <c r="C2314" t="s">
        <v>272</v>
      </c>
      <c r="D2314">
        <v>5</v>
      </c>
      <c r="F2314" s="37" t="s">
        <v>509</v>
      </c>
    </row>
    <row r="2315" spans="2:6" x14ac:dyDescent="0.25">
      <c r="B2315" s="38">
        <v>46119</v>
      </c>
      <c r="C2315" t="s">
        <v>642</v>
      </c>
      <c r="D2315">
        <v>10</v>
      </c>
      <c r="F2315" s="37" t="s">
        <v>643</v>
      </c>
    </row>
    <row r="2316" spans="2:6" x14ac:dyDescent="0.25">
      <c r="B2316" s="38">
        <v>46119</v>
      </c>
      <c r="C2316" t="s">
        <v>636</v>
      </c>
      <c r="D2316">
        <v>20</v>
      </c>
      <c r="F2316" s="37" t="s">
        <v>643</v>
      </c>
    </row>
    <row r="2317" spans="2:6" x14ac:dyDescent="0.25">
      <c r="B2317" s="38">
        <v>46119</v>
      </c>
      <c r="C2317" t="s">
        <v>692</v>
      </c>
      <c r="D2317">
        <v>6</v>
      </c>
      <c r="F2317" s="37" t="s">
        <v>643</v>
      </c>
    </row>
    <row r="2318" spans="2:6" x14ac:dyDescent="0.25">
      <c r="B2318" s="38">
        <v>46119</v>
      </c>
      <c r="C2318" t="s">
        <v>397</v>
      </c>
      <c r="D2318">
        <v>8</v>
      </c>
      <c r="F2318" s="37" t="s">
        <v>509</v>
      </c>
    </row>
    <row r="2319" spans="2:6" x14ac:dyDescent="0.25">
      <c r="B2319" s="38">
        <v>46119</v>
      </c>
      <c r="C2319" t="s">
        <v>692</v>
      </c>
      <c r="E2319">
        <v>1</v>
      </c>
      <c r="F2319" s="37"/>
    </row>
    <row r="2320" spans="2:6" x14ac:dyDescent="0.25">
      <c r="B2320" s="38">
        <v>46119</v>
      </c>
      <c r="C2320" t="s">
        <v>691</v>
      </c>
      <c r="E2320">
        <v>10</v>
      </c>
      <c r="F2320" s="37"/>
    </row>
    <row r="2321" spans="2:6" x14ac:dyDescent="0.25">
      <c r="B2321" s="38">
        <v>46120</v>
      </c>
      <c r="C2321" t="s">
        <v>624</v>
      </c>
      <c r="D2321">
        <v>63</v>
      </c>
      <c r="F2321" s="37" t="s">
        <v>693</v>
      </c>
    </row>
    <row r="2322" spans="2:6" x14ac:dyDescent="0.25">
      <c r="B2322" s="38">
        <v>46120</v>
      </c>
      <c r="C2322" t="s">
        <v>190</v>
      </c>
      <c r="D2322">
        <v>12</v>
      </c>
      <c r="F2322" s="37" t="s">
        <v>693</v>
      </c>
    </row>
    <row r="2323" spans="2:6" x14ac:dyDescent="0.25">
      <c r="B2323" s="38">
        <v>46120</v>
      </c>
      <c r="C2323" t="s">
        <v>171</v>
      </c>
      <c r="D2323">
        <v>28</v>
      </c>
      <c r="F2323" s="37" t="s">
        <v>693</v>
      </c>
    </row>
    <row r="2324" spans="2:6" x14ac:dyDescent="0.25">
      <c r="B2324" s="38">
        <v>46120</v>
      </c>
      <c r="C2324" t="s">
        <v>251</v>
      </c>
      <c r="D2324">
        <v>140</v>
      </c>
      <c r="F2324" s="37" t="s">
        <v>693</v>
      </c>
    </row>
    <row r="2325" spans="2:6" x14ac:dyDescent="0.25">
      <c r="B2325" s="38">
        <v>46120</v>
      </c>
      <c r="C2325" t="s">
        <v>190</v>
      </c>
      <c r="E2325">
        <v>6</v>
      </c>
      <c r="F2325" s="37"/>
    </row>
    <row r="2326" spans="2:6" x14ac:dyDescent="0.25">
      <c r="B2326" s="38">
        <v>46121</v>
      </c>
      <c r="C2326" t="s">
        <v>416</v>
      </c>
      <c r="E2326">
        <v>2</v>
      </c>
      <c r="F2326" s="37"/>
    </row>
    <row r="2327" spans="2:6" x14ac:dyDescent="0.25">
      <c r="B2327" s="38">
        <v>46122</v>
      </c>
      <c r="C2327" t="s">
        <v>502</v>
      </c>
      <c r="E2327">
        <v>1</v>
      </c>
      <c r="F2327" s="37"/>
    </row>
    <row r="2328" spans="2:6" x14ac:dyDescent="0.25">
      <c r="B2328" s="38">
        <v>46122</v>
      </c>
      <c r="C2328" t="s">
        <v>443</v>
      </c>
      <c r="E2328">
        <v>1</v>
      </c>
      <c r="F2328" s="37"/>
    </row>
    <row r="2329" spans="2:6" x14ac:dyDescent="0.25">
      <c r="B2329" s="38">
        <v>46122</v>
      </c>
      <c r="C2329" t="s">
        <v>251</v>
      </c>
      <c r="E2329">
        <v>5</v>
      </c>
      <c r="F2329" s="37"/>
    </row>
    <row r="2330" spans="2:6" x14ac:dyDescent="0.25">
      <c r="B2330" s="38">
        <v>46123</v>
      </c>
      <c r="C2330" t="s">
        <v>497</v>
      </c>
      <c r="E2330">
        <v>10</v>
      </c>
      <c r="F2330" s="37"/>
    </row>
    <row r="2331" spans="2:6" x14ac:dyDescent="0.25">
      <c r="B2331" s="38">
        <v>46123</v>
      </c>
      <c r="C2331" t="s">
        <v>155</v>
      </c>
      <c r="E2331">
        <v>10</v>
      </c>
      <c r="F2331" s="37"/>
    </row>
    <row r="2332" spans="2:6" x14ac:dyDescent="0.25">
      <c r="B2332" s="38">
        <v>46123</v>
      </c>
      <c r="C2332" t="s">
        <v>491</v>
      </c>
      <c r="E2332">
        <v>10</v>
      </c>
      <c r="F2332" s="37"/>
    </row>
    <row r="2333" spans="2:6" x14ac:dyDescent="0.25">
      <c r="B2333" s="38">
        <v>46123</v>
      </c>
      <c r="C2333" t="s">
        <v>159</v>
      </c>
      <c r="E2333">
        <v>5</v>
      </c>
      <c r="F2333" s="37"/>
    </row>
    <row r="2334" spans="2:6" x14ac:dyDescent="0.25">
      <c r="B2334" s="38">
        <v>46123</v>
      </c>
      <c r="C2334" t="s">
        <v>166</v>
      </c>
      <c r="E2334">
        <v>5</v>
      </c>
      <c r="F2334" s="37"/>
    </row>
    <row r="2335" spans="2:6" x14ac:dyDescent="0.25">
      <c r="B2335" s="38">
        <v>46123</v>
      </c>
      <c r="C2335" t="s">
        <v>616</v>
      </c>
      <c r="E2335">
        <v>5</v>
      </c>
      <c r="F2335" s="37"/>
    </row>
    <row r="2336" spans="2:6" x14ac:dyDescent="0.25">
      <c r="B2336" s="38">
        <v>46123</v>
      </c>
      <c r="C2336" t="s">
        <v>270</v>
      </c>
      <c r="E2336">
        <v>10</v>
      </c>
      <c r="F2336" s="37"/>
    </row>
    <row r="2337" spans="2:6" x14ac:dyDescent="0.25">
      <c r="B2337" s="38">
        <v>46123</v>
      </c>
      <c r="C2337" t="s">
        <v>636</v>
      </c>
      <c r="E2337">
        <v>10</v>
      </c>
      <c r="F2337" s="37"/>
    </row>
    <row r="2338" spans="2:6" x14ac:dyDescent="0.25">
      <c r="B2338" s="38">
        <v>46123</v>
      </c>
      <c r="C2338" t="s">
        <v>445</v>
      </c>
      <c r="E2338">
        <v>10</v>
      </c>
      <c r="F2338" s="37"/>
    </row>
    <row r="2339" spans="2:6" x14ac:dyDescent="0.25">
      <c r="B2339" s="38">
        <v>46123</v>
      </c>
      <c r="C2339" t="s">
        <v>502</v>
      </c>
      <c r="E2339">
        <v>10</v>
      </c>
      <c r="F2339" s="37"/>
    </row>
    <row r="2340" spans="2:6" x14ac:dyDescent="0.25">
      <c r="B2340" s="38">
        <v>46123</v>
      </c>
      <c r="C2340" t="s">
        <v>443</v>
      </c>
      <c r="E2340">
        <v>10</v>
      </c>
      <c r="F2340" s="37"/>
    </row>
    <row r="2341" spans="2:6" x14ac:dyDescent="0.25">
      <c r="B2341" s="38">
        <v>46123</v>
      </c>
      <c r="C2341" t="s">
        <v>654</v>
      </c>
      <c r="E2341">
        <v>5</v>
      </c>
      <c r="F2341" s="37"/>
    </row>
    <row r="2342" spans="2:6" x14ac:dyDescent="0.25">
      <c r="B2342" s="38">
        <v>46123</v>
      </c>
      <c r="C2342" t="s">
        <v>417</v>
      </c>
      <c r="E2342">
        <v>2</v>
      </c>
      <c r="F2342" s="37"/>
    </row>
    <row r="2343" spans="2:6" x14ac:dyDescent="0.25">
      <c r="B2343" s="38">
        <v>46123</v>
      </c>
      <c r="C2343" t="s">
        <v>530</v>
      </c>
      <c r="E2343">
        <v>1</v>
      </c>
      <c r="F2343" s="37"/>
    </row>
    <row r="2344" spans="2:6" x14ac:dyDescent="0.25">
      <c r="B2344" s="38">
        <v>46123</v>
      </c>
      <c r="C2344" t="s">
        <v>416</v>
      </c>
      <c r="E2344">
        <v>3</v>
      </c>
      <c r="F2344" s="37"/>
    </row>
    <row r="2345" spans="2:6" x14ac:dyDescent="0.25">
      <c r="B2345" s="38">
        <v>46123</v>
      </c>
      <c r="C2345" t="s">
        <v>619</v>
      </c>
      <c r="E2345">
        <v>10</v>
      </c>
      <c r="F2345" s="37"/>
    </row>
    <row r="2346" spans="2:6" x14ac:dyDescent="0.25">
      <c r="B2346" s="38">
        <v>46123</v>
      </c>
      <c r="C2346" t="s">
        <v>617</v>
      </c>
      <c r="E2346">
        <v>5</v>
      </c>
      <c r="F2346" s="37"/>
    </row>
    <row r="2347" spans="2:6" x14ac:dyDescent="0.25">
      <c r="B2347" s="38">
        <v>46123</v>
      </c>
      <c r="C2347" t="s">
        <v>604</v>
      </c>
      <c r="E2347">
        <v>15</v>
      </c>
      <c r="F2347" s="37"/>
    </row>
    <row r="2348" spans="2:6" x14ac:dyDescent="0.25">
      <c r="B2348" s="38">
        <v>46123</v>
      </c>
      <c r="C2348" t="s">
        <v>647</v>
      </c>
      <c r="E2348">
        <v>4</v>
      </c>
      <c r="F2348" s="37"/>
    </row>
    <row r="2349" spans="2:6" x14ac:dyDescent="0.25">
      <c r="B2349" s="38">
        <v>46123</v>
      </c>
      <c r="C2349" t="s">
        <v>625</v>
      </c>
      <c r="E2349">
        <v>15</v>
      </c>
      <c r="F2349" s="37"/>
    </row>
    <row r="2350" spans="2:6" x14ac:dyDescent="0.25">
      <c r="B2350" s="38">
        <v>46123</v>
      </c>
      <c r="C2350" t="s">
        <v>556</v>
      </c>
      <c r="E2350">
        <v>5</v>
      </c>
      <c r="F2350" s="37"/>
    </row>
    <row r="2351" spans="2:6" x14ac:dyDescent="0.25">
      <c r="B2351" s="38">
        <v>46123</v>
      </c>
      <c r="C2351" t="s">
        <v>264</v>
      </c>
      <c r="E2351">
        <v>5</v>
      </c>
      <c r="F2351" s="37"/>
    </row>
    <row r="2352" spans="2:6" x14ac:dyDescent="0.25">
      <c r="B2352" s="38">
        <v>46123</v>
      </c>
      <c r="C2352" t="s">
        <v>588</v>
      </c>
      <c r="E2352">
        <v>20</v>
      </c>
      <c r="F2352" s="37"/>
    </row>
    <row r="2353" spans="2:6" x14ac:dyDescent="0.25">
      <c r="B2353" s="38">
        <v>46123</v>
      </c>
      <c r="C2353" t="s">
        <v>165</v>
      </c>
      <c r="E2353">
        <v>2</v>
      </c>
      <c r="F2353" s="37"/>
    </row>
    <row r="2354" spans="2:6" x14ac:dyDescent="0.25">
      <c r="B2354" s="38">
        <v>46123</v>
      </c>
      <c r="C2354" t="s">
        <v>290</v>
      </c>
      <c r="E2354">
        <v>2</v>
      </c>
      <c r="F2354" s="37"/>
    </row>
    <row r="2355" spans="2:6" x14ac:dyDescent="0.25">
      <c r="B2355" s="38">
        <v>46127</v>
      </c>
      <c r="C2355" t="s">
        <v>171</v>
      </c>
      <c r="E2355">
        <v>12</v>
      </c>
      <c r="F2355" s="37"/>
    </row>
  </sheetData>
  <dataValidations count="1">
    <dataValidation type="list" allowBlank="1" showInputMessage="1" showErrorMessage="1" sqref="C352" xr:uid="{56E40A2A-368F-418A-B195-9222FD113C0F}">
      <formula1>LIST</formula1>
    </dataValidation>
  </dataValidation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7B49-FD3C-4811-9ECB-0928BBAB97E6}">
  <dimension ref="A1:F180"/>
  <sheetViews>
    <sheetView workbookViewId="0">
      <pane xSplit="6" ySplit="2" topLeftCell="G98" activePane="bottomRight" state="frozen"/>
      <selection pane="topRight" activeCell="G1" sqref="G1"/>
      <selection pane="bottomLeft" activeCell="A3" sqref="A3"/>
      <selection pane="bottomRight" activeCell="B123" sqref="B123"/>
    </sheetView>
  </sheetViews>
  <sheetFormatPr defaultRowHeight="13.2" x14ac:dyDescent="0.25"/>
  <cols>
    <col min="1" max="1" width="4.33203125" bestFit="1" customWidth="1"/>
    <col min="2" max="2" width="47.109375" bestFit="1" customWidth="1"/>
    <col min="3" max="3" width="47.109375" customWidth="1"/>
    <col min="4" max="4" width="11.77734375" customWidth="1"/>
    <col min="5" max="5" width="13.6640625" bestFit="1" customWidth="1"/>
    <col min="6" max="6" width="7.44140625" customWidth="1"/>
  </cols>
  <sheetData>
    <row r="1" spans="1:6" x14ac:dyDescent="0.25">
      <c r="B1" s="15"/>
      <c r="C1" s="15"/>
      <c r="D1" s="15"/>
      <c r="E1" s="15"/>
      <c r="F1" s="15"/>
    </row>
    <row r="2" spans="1:6" ht="15.6" x14ac:dyDescent="0.25">
      <c r="A2" s="29" t="s">
        <v>114</v>
      </c>
      <c r="B2" s="12" t="s">
        <v>105</v>
      </c>
      <c r="C2" s="12" t="s">
        <v>107</v>
      </c>
      <c r="D2" s="12" t="s">
        <v>108</v>
      </c>
      <c r="E2" s="12" t="s">
        <v>110</v>
      </c>
      <c r="F2" s="12" t="s">
        <v>106</v>
      </c>
    </row>
    <row r="3" spans="1:6" ht="15.6" x14ac:dyDescent="0.25">
      <c r="A3" s="30">
        <v>1</v>
      </c>
      <c r="B3" s="14" t="s">
        <v>112</v>
      </c>
      <c r="C3" s="26" t="s">
        <v>343</v>
      </c>
      <c r="D3" s="14" t="s">
        <v>109</v>
      </c>
      <c r="E3" s="14" t="s">
        <v>111</v>
      </c>
      <c r="F3" s="32"/>
    </row>
    <row r="4" spans="1:6" ht="15.6" x14ac:dyDescent="0.25">
      <c r="A4" s="31">
        <v>2</v>
      </c>
      <c r="B4" s="14" t="s">
        <v>127</v>
      </c>
      <c r="C4" s="16" t="s">
        <v>113</v>
      </c>
      <c r="D4" s="14" t="s">
        <v>109</v>
      </c>
      <c r="E4" s="14" t="s">
        <v>111</v>
      </c>
      <c r="F4" s="32"/>
    </row>
    <row r="5" spans="1:6" ht="15.6" x14ac:dyDescent="0.25">
      <c r="A5" s="31">
        <v>3</v>
      </c>
      <c r="B5" s="14" t="s">
        <v>116</v>
      </c>
      <c r="C5" s="17" t="s">
        <v>115</v>
      </c>
      <c r="D5" s="18" t="s">
        <v>126</v>
      </c>
      <c r="E5" s="14" t="s">
        <v>111</v>
      </c>
      <c r="F5" s="32"/>
    </row>
    <row r="6" spans="1:6" ht="15.6" x14ac:dyDescent="0.25">
      <c r="A6" s="31">
        <v>4</v>
      </c>
      <c r="B6" s="14" t="s">
        <v>117</v>
      </c>
      <c r="C6" s="16" t="s">
        <v>129</v>
      </c>
      <c r="D6" s="14" t="s">
        <v>109</v>
      </c>
      <c r="E6" s="14" t="s">
        <v>111</v>
      </c>
      <c r="F6" s="32"/>
    </row>
    <row r="7" spans="1:6" ht="15.6" x14ac:dyDescent="0.25">
      <c r="A7" s="31">
        <v>5</v>
      </c>
      <c r="B7" s="14" t="s">
        <v>118</v>
      </c>
      <c r="C7" s="16" t="s">
        <v>130</v>
      </c>
      <c r="D7" s="14" t="s">
        <v>109</v>
      </c>
      <c r="E7" s="14" t="s">
        <v>111</v>
      </c>
      <c r="F7" s="32"/>
    </row>
    <row r="8" spans="1:6" ht="15.6" x14ac:dyDescent="0.25">
      <c r="A8" s="31">
        <v>6</v>
      </c>
      <c r="B8" s="14" t="s">
        <v>128</v>
      </c>
      <c r="C8" s="16" t="s">
        <v>131</v>
      </c>
      <c r="D8" s="14" t="s">
        <v>109</v>
      </c>
      <c r="E8" s="14" t="s">
        <v>111</v>
      </c>
      <c r="F8" s="32">
        <v>0</v>
      </c>
    </row>
    <row r="9" spans="1:6" ht="15.6" x14ac:dyDescent="0.25">
      <c r="A9" s="31">
        <v>7</v>
      </c>
      <c r="B9" s="14" t="s">
        <v>373</v>
      </c>
      <c r="C9" s="16" t="s">
        <v>283</v>
      </c>
      <c r="D9" s="14" t="s">
        <v>109</v>
      </c>
      <c r="E9" s="14" t="s">
        <v>111</v>
      </c>
      <c r="F9" s="32"/>
    </row>
    <row r="10" spans="1:6" ht="15.6" x14ac:dyDescent="0.25">
      <c r="A10" s="31">
        <v>8</v>
      </c>
      <c r="B10" s="14" t="s">
        <v>119</v>
      </c>
      <c r="C10" s="17" t="s">
        <v>129</v>
      </c>
      <c r="D10" s="14" t="s">
        <v>109</v>
      </c>
      <c r="E10" s="14" t="s">
        <v>111</v>
      </c>
      <c r="F10" s="32"/>
    </row>
    <row r="11" spans="1:6" ht="15.6" x14ac:dyDescent="0.25">
      <c r="A11" s="31">
        <v>9</v>
      </c>
      <c r="B11" s="14" t="s">
        <v>120</v>
      </c>
      <c r="C11" s="17" t="s">
        <v>115</v>
      </c>
      <c r="D11" s="14" t="s">
        <v>109</v>
      </c>
      <c r="E11" s="14" t="s">
        <v>111</v>
      </c>
      <c r="F11" s="32"/>
    </row>
    <row r="12" spans="1:6" ht="15.6" x14ac:dyDescent="0.25">
      <c r="A12" s="31">
        <v>10</v>
      </c>
      <c r="B12" s="14" t="s">
        <v>121</v>
      </c>
      <c r="C12" s="17" t="s">
        <v>132</v>
      </c>
      <c r="D12" s="14" t="s">
        <v>109</v>
      </c>
      <c r="E12" s="14" t="s">
        <v>111</v>
      </c>
      <c r="F12" s="32"/>
    </row>
    <row r="13" spans="1:6" ht="15.6" x14ac:dyDescent="0.25">
      <c r="A13" s="31">
        <v>11</v>
      </c>
      <c r="B13" s="14" t="s">
        <v>122</v>
      </c>
      <c r="C13" s="17" t="s">
        <v>113</v>
      </c>
      <c r="D13" s="14" t="s">
        <v>109</v>
      </c>
      <c r="E13" s="14" t="s">
        <v>111</v>
      </c>
      <c r="F13" s="32"/>
    </row>
    <row r="14" spans="1:6" ht="15.6" x14ac:dyDescent="0.25">
      <c r="A14" s="31">
        <v>12</v>
      </c>
      <c r="B14" s="14" t="s">
        <v>123</v>
      </c>
      <c r="C14" s="17" t="s">
        <v>113</v>
      </c>
      <c r="D14" s="14" t="s">
        <v>109</v>
      </c>
      <c r="E14" s="14" t="s">
        <v>111</v>
      </c>
      <c r="F14" s="32"/>
    </row>
    <row r="15" spans="1:6" ht="15.6" x14ac:dyDescent="0.25">
      <c r="A15" s="31">
        <v>13</v>
      </c>
      <c r="B15" s="14" t="s">
        <v>136</v>
      </c>
      <c r="C15" s="17" t="s">
        <v>136</v>
      </c>
      <c r="D15" s="14" t="s">
        <v>109</v>
      </c>
      <c r="E15" s="14" t="s">
        <v>111</v>
      </c>
      <c r="F15" s="32"/>
    </row>
    <row r="16" spans="1:6" ht="15.6" x14ac:dyDescent="0.25">
      <c r="A16" s="31">
        <v>14</v>
      </c>
      <c r="B16" s="14" t="s">
        <v>124</v>
      </c>
      <c r="C16" s="17" t="s">
        <v>133</v>
      </c>
      <c r="D16" s="14" t="s">
        <v>109</v>
      </c>
      <c r="E16" s="14" t="s">
        <v>111</v>
      </c>
      <c r="F16" s="32"/>
    </row>
    <row r="17" spans="1:6" ht="15.6" x14ac:dyDescent="0.25">
      <c r="A17" s="31">
        <v>15</v>
      </c>
      <c r="B17" s="14" t="s">
        <v>135</v>
      </c>
      <c r="C17" s="17" t="s">
        <v>135</v>
      </c>
      <c r="D17" s="14" t="s">
        <v>109</v>
      </c>
      <c r="E17" s="14" t="s">
        <v>111</v>
      </c>
      <c r="F17" s="32"/>
    </row>
    <row r="18" spans="1:6" ht="15.6" x14ac:dyDescent="0.25">
      <c r="A18" s="31">
        <v>16</v>
      </c>
      <c r="B18" s="14" t="s">
        <v>125</v>
      </c>
      <c r="C18" s="17" t="s">
        <v>134</v>
      </c>
      <c r="D18" s="14" t="s">
        <v>109</v>
      </c>
      <c r="E18" s="14" t="s">
        <v>111</v>
      </c>
      <c r="F18" s="14"/>
    </row>
    <row r="19" spans="1:6" ht="15.6" x14ac:dyDescent="0.25">
      <c r="A19" s="31">
        <v>17</v>
      </c>
      <c r="B19" s="19" t="s">
        <v>137</v>
      </c>
      <c r="C19" s="17" t="s">
        <v>340</v>
      </c>
      <c r="D19" s="14" t="s">
        <v>156</v>
      </c>
      <c r="E19" s="14" t="s">
        <v>111</v>
      </c>
      <c r="F19" s="14"/>
    </row>
    <row r="20" spans="1:6" ht="15.6" x14ac:dyDescent="0.25">
      <c r="A20" s="31">
        <v>18</v>
      </c>
      <c r="B20" s="19" t="s">
        <v>138</v>
      </c>
      <c r="C20" s="17" t="s">
        <v>299</v>
      </c>
      <c r="D20" s="14" t="s">
        <v>156</v>
      </c>
      <c r="E20" s="14" t="s">
        <v>111</v>
      </c>
      <c r="F20" s="14"/>
    </row>
    <row r="21" spans="1:6" ht="15.6" x14ac:dyDescent="0.25">
      <c r="A21" s="31">
        <v>19</v>
      </c>
      <c r="B21" s="19" t="s">
        <v>139</v>
      </c>
      <c r="C21" s="17" t="s">
        <v>300</v>
      </c>
      <c r="D21" s="14" t="s">
        <v>156</v>
      </c>
      <c r="E21" s="14" t="s">
        <v>111</v>
      </c>
      <c r="F21" s="14"/>
    </row>
    <row r="22" spans="1:6" ht="15.6" x14ac:dyDescent="0.25">
      <c r="A22" s="31">
        <v>20</v>
      </c>
      <c r="B22" s="19" t="s">
        <v>140</v>
      </c>
      <c r="C22" s="17" t="s">
        <v>300</v>
      </c>
      <c r="D22" s="14" t="s">
        <v>156</v>
      </c>
      <c r="E22" s="14" t="s">
        <v>111</v>
      </c>
      <c r="F22" s="14"/>
    </row>
    <row r="23" spans="1:6" ht="15.6" x14ac:dyDescent="0.25">
      <c r="A23" s="31">
        <v>21</v>
      </c>
      <c r="B23" s="19" t="s">
        <v>141</v>
      </c>
      <c r="C23" s="17" t="s">
        <v>301</v>
      </c>
      <c r="D23" s="14" t="s">
        <v>156</v>
      </c>
      <c r="E23" s="14" t="s">
        <v>111</v>
      </c>
      <c r="F23" s="14"/>
    </row>
    <row r="24" spans="1:6" ht="15.6" x14ac:dyDescent="0.25">
      <c r="A24" s="31">
        <v>22</v>
      </c>
      <c r="B24" s="19" t="s">
        <v>142</v>
      </c>
      <c r="C24" s="25" t="s">
        <v>302</v>
      </c>
      <c r="D24" s="14" t="s">
        <v>156</v>
      </c>
      <c r="E24" s="14" t="s">
        <v>111</v>
      </c>
      <c r="F24" s="14"/>
    </row>
    <row r="25" spans="1:6" ht="15.6" x14ac:dyDescent="0.25">
      <c r="A25" s="31">
        <v>23</v>
      </c>
      <c r="B25" s="19" t="s">
        <v>143</v>
      </c>
      <c r="C25" s="17" t="s">
        <v>303</v>
      </c>
      <c r="D25" s="14" t="s">
        <v>156</v>
      </c>
      <c r="E25" s="14" t="s">
        <v>111</v>
      </c>
      <c r="F25" s="14"/>
    </row>
    <row r="26" spans="1:6" ht="15.6" x14ac:dyDescent="0.25">
      <c r="A26" s="31">
        <v>24</v>
      </c>
      <c r="B26" s="19" t="s">
        <v>144</v>
      </c>
      <c r="C26" s="17" t="s">
        <v>304</v>
      </c>
      <c r="D26" s="14" t="s">
        <v>156</v>
      </c>
      <c r="E26" s="14" t="s">
        <v>111</v>
      </c>
      <c r="F26" s="14"/>
    </row>
    <row r="27" spans="1:6" ht="15.6" x14ac:dyDescent="0.25">
      <c r="A27" s="31">
        <v>25</v>
      </c>
      <c r="B27" s="19" t="s">
        <v>145</v>
      </c>
      <c r="C27" s="17" t="s">
        <v>306</v>
      </c>
      <c r="D27" s="14" t="s">
        <v>156</v>
      </c>
      <c r="E27" s="14" t="s">
        <v>111</v>
      </c>
      <c r="F27" s="14"/>
    </row>
    <row r="28" spans="1:6" ht="15.6" x14ac:dyDescent="0.25">
      <c r="A28" s="31">
        <v>26</v>
      </c>
      <c r="B28" s="19" t="s">
        <v>146</v>
      </c>
      <c r="C28" s="17" t="s">
        <v>305</v>
      </c>
      <c r="D28" s="14" t="s">
        <v>156</v>
      </c>
      <c r="E28" s="14" t="s">
        <v>111</v>
      </c>
      <c r="F28" s="14"/>
    </row>
    <row r="29" spans="1:6" ht="15.6" x14ac:dyDescent="0.25">
      <c r="A29" s="31">
        <v>27</v>
      </c>
      <c r="B29" s="19" t="s">
        <v>147</v>
      </c>
      <c r="C29" s="17" t="s">
        <v>306</v>
      </c>
      <c r="D29" s="14" t="s">
        <v>156</v>
      </c>
      <c r="E29" s="14" t="s">
        <v>111</v>
      </c>
      <c r="F29" s="14"/>
    </row>
    <row r="30" spans="1:6" ht="15.6" x14ac:dyDescent="0.25">
      <c r="A30" s="31">
        <v>28</v>
      </c>
      <c r="B30" s="19" t="s">
        <v>148</v>
      </c>
      <c r="C30" s="17" t="s">
        <v>307</v>
      </c>
      <c r="D30" s="14" t="s">
        <v>156</v>
      </c>
      <c r="E30" s="14" t="s">
        <v>111</v>
      </c>
      <c r="F30" s="14"/>
    </row>
    <row r="31" spans="1:6" ht="15.6" x14ac:dyDescent="0.25">
      <c r="A31" s="31">
        <v>29</v>
      </c>
      <c r="B31" s="19" t="s">
        <v>149</v>
      </c>
      <c r="C31" s="17" t="s">
        <v>308</v>
      </c>
      <c r="D31" s="14" t="s">
        <v>156</v>
      </c>
      <c r="E31" s="14" t="s">
        <v>111</v>
      </c>
      <c r="F31" s="14"/>
    </row>
    <row r="32" spans="1:6" ht="15.6" x14ac:dyDescent="0.25">
      <c r="A32" s="31">
        <v>30</v>
      </c>
      <c r="B32" s="19" t="s">
        <v>150</v>
      </c>
      <c r="C32" s="17" t="s">
        <v>308</v>
      </c>
      <c r="D32" s="14" t="s">
        <v>156</v>
      </c>
      <c r="E32" s="14" t="s">
        <v>111</v>
      </c>
      <c r="F32" s="14"/>
    </row>
    <row r="33" spans="1:6" ht="15.6" x14ac:dyDescent="0.25">
      <c r="A33" s="31">
        <v>31</v>
      </c>
      <c r="B33" s="19" t="s">
        <v>151</v>
      </c>
      <c r="C33" s="17" t="s">
        <v>182</v>
      </c>
      <c r="D33" s="14" t="s">
        <v>156</v>
      </c>
      <c r="E33" s="14" t="s">
        <v>111</v>
      </c>
      <c r="F33" s="14"/>
    </row>
    <row r="34" spans="1:6" ht="15.6" x14ac:dyDescent="0.25">
      <c r="A34" s="31">
        <v>32</v>
      </c>
      <c r="B34" s="19" t="s">
        <v>152</v>
      </c>
      <c r="C34" s="17" t="s">
        <v>306</v>
      </c>
      <c r="D34" s="14" t="s">
        <v>156</v>
      </c>
      <c r="E34" s="14" t="s">
        <v>111</v>
      </c>
      <c r="F34" s="14"/>
    </row>
    <row r="35" spans="1:6" ht="15.6" x14ac:dyDescent="0.25">
      <c r="A35" s="31">
        <v>33</v>
      </c>
      <c r="B35" s="19" t="s">
        <v>153</v>
      </c>
      <c r="C35" s="17" t="s">
        <v>309</v>
      </c>
      <c r="D35" s="14" t="s">
        <v>156</v>
      </c>
      <c r="E35" s="14" t="s">
        <v>111</v>
      </c>
      <c r="F35" s="14"/>
    </row>
    <row r="36" spans="1:6" ht="15.6" x14ac:dyDescent="0.25">
      <c r="A36" s="31">
        <v>34</v>
      </c>
      <c r="B36" s="19" t="s">
        <v>154</v>
      </c>
      <c r="C36" s="17" t="s">
        <v>309</v>
      </c>
      <c r="D36" s="14" t="s">
        <v>156</v>
      </c>
      <c r="E36" s="14" t="s">
        <v>111</v>
      </c>
      <c r="F36" s="14"/>
    </row>
    <row r="37" spans="1:6" ht="15.6" x14ac:dyDescent="0.25">
      <c r="A37" s="31">
        <v>35</v>
      </c>
      <c r="B37" s="19" t="s">
        <v>155</v>
      </c>
      <c r="C37" s="17" t="s">
        <v>310</v>
      </c>
      <c r="D37" s="14" t="s">
        <v>156</v>
      </c>
      <c r="E37" s="14" t="s">
        <v>111</v>
      </c>
      <c r="F37" s="14"/>
    </row>
    <row r="38" spans="1:6" ht="15.6" x14ac:dyDescent="0.25">
      <c r="A38" s="31">
        <v>36</v>
      </c>
      <c r="B38" s="19" t="s">
        <v>157</v>
      </c>
      <c r="C38" s="17" t="s">
        <v>311</v>
      </c>
      <c r="D38" s="14" t="s">
        <v>156</v>
      </c>
      <c r="E38" s="14" t="s">
        <v>111</v>
      </c>
      <c r="F38" s="14"/>
    </row>
    <row r="39" spans="1:6" ht="15.6" x14ac:dyDescent="0.25">
      <c r="A39" s="31">
        <v>37</v>
      </c>
      <c r="B39" s="19" t="s">
        <v>158</v>
      </c>
      <c r="C39" s="17" t="s">
        <v>316</v>
      </c>
      <c r="D39" s="14" t="s">
        <v>156</v>
      </c>
      <c r="E39" s="14" t="s">
        <v>111</v>
      </c>
      <c r="F39" s="14"/>
    </row>
    <row r="40" spans="1:6" ht="15.6" x14ac:dyDescent="0.25">
      <c r="A40" s="31">
        <v>38</v>
      </c>
      <c r="B40" s="19" t="s">
        <v>159</v>
      </c>
      <c r="C40" s="17" t="s">
        <v>312</v>
      </c>
      <c r="D40" s="14" t="s">
        <v>156</v>
      </c>
      <c r="E40" s="14" t="s">
        <v>111</v>
      </c>
      <c r="F40" s="14"/>
    </row>
    <row r="41" spans="1:6" ht="15.6" x14ac:dyDescent="0.25">
      <c r="A41" s="31">
        <v>39</v>
      </c>
      <c r="B41" s="19" t="s">
        <v>164</v>
      </c>
      <c r="C41" s="17" t="s">
        <v>315</v>
      </c>
      <c r="D41" s="14" t="s">
        <v>156</v>
      </c>
      <c r="E41" s="14" t="s">
        <v>111</v>
      </c>
      <c r="F41" s="14"/>
    </row>
    <row r="42" spans="1:6" ht="15.6" x14ac:dyDescent="0.25">
      <c r="A42" s="31">
        <v>40</v>
      </c>
      <c r="B42" s="19" t="s">
        <v>165</v>
      </c>
      <c r="C42" s="17" t="s">
        <v>315</v>
      </c>
      <c r="D42" s="14" t="s">
        <v>156</v>
      </c>
      <c r="E42" s="14" t="s">
        <v>111</v>
      </c>
      <c r="F42" s="14"/>
    </row>
    <row r="43" spans="1:6" ht="15.6" x14ac:dyDescent="0.25">
      <c r="A43" s="31">
        <v>41</v>
      </c>
      <c r="B43" s="19" t="s">
        <v>166</v>
      </c>
      <c r="C43" s="17" t="s">
        <v>318</v>
      </c>
      <c r="D43" s="14" t="s">
        <v>156</v>
      </c>
      <c r="E43" s="14" t="s">
        <v>111</v>
      </c>
      <c r="F43" s="14"/>
    </row>
    <row r="44" spans="1:6" ht="15.6" x14ac:dyDescent="0.25">
      <c r="A44" s="31">
        <v>42</v>
      </c>
      <c r="B44" s="19" t="s">
        <v>317</v>
      </c>
      <c r="C44" s="25" t="s">
        <v>319</v>
      </c>
      <c r="D44" s="14" t="s">
        <v>156</v>
      </c>
      <c r="E44" s="14" t="s">
        <v>111</v>
      </c>
      <c r="F44" s="14"/>
    </row>
    <row r="45" spans="1:6" ht="15.6" x14ac:dyDescent="0.25">
      <c r="A45" s="31">
        <v>43</v>
      </c>
      <c r="B45" s="19" t="s">
        <v>167</v>
      </c>
      <c r="C45" s="17" t="s">
        <v>313</v>
      </c>
      <c r="D45" s="14" t="s">
        <v>156</v>
      </c>
      <c r="E45" s="14" t="s">
        <v>111</v>
      </c>
      <c r="F45" s="14"/>
    </row>
    <row r="46" spans="1:6" ht="15.6" x14ac:dyDescent="0.25">
      <c r="A46" s="31">
        <v>44</v>
      </c>
      <c r="B46" s="19" t="s">
        <v>168</v>
      </c>
      <c r="C46" s="17" t="s">
        <v>314</v>
      </c>
      <c r="D46" s="14" t="s">
        <v>156</v>
      </c>
      <c r="E46" s="14" t="s">
        <v>111</v>
      </c>
      <c r="F46" s="14"/>
    </row>
    <row r="47" spans="1:6" ht="15.6" x14ac:dyDescent="0.25">
      <c r="A47" s="31">
        <v>45</v>
      </c>
      <c r="B47" s="19" t="s">
        <v>169</v>
      </c>
      <c r="C47" s="17" t="s">
        <v>314</v>
      </c>
      <c r="D47" s="14" t="s">
        <v>156</v>
      </c>
      <c r="E47" s="14" t="s">
        <v>111</v>
      </c>
      <c r="F47" s="14"/>
    </row>
    <row r="48" spans="1:6" ht="15.6" x14ac:dyDescent="0.25">
      <c r="A48" s="31">
        <v>46</v>
      </c>
      <c r="B48" s="19" t="s">
        <v>170</v>
      </c>
      <c r="C48" s="17" t="s">
        <v>320</v>
      </c>
      <c r="D48" s="14" t="s">
        <v>161</v>
      </c>
      <c r="E48" s="14" t="s">
        <v>111</v>
      </c>
      <c r="F48" s="14"/>
    </row>
    <row r="49" spans="1:6" ht="15.6" x14ac:dyDescent="0.25">
      <c r="A49" s="31">
        <v>47</v>
      </c>
      <c r="B49" s="19" t="s">
        <v>171</v>
      </c>
      <c r="C49" s="17" t="s">
        <v>321</v>
      </c>
      <c r="D49" s="14" t="s">
        <v>161</v>
      </c>
      <c r="E49" s="14" t="s">
        <v>111</v>
      </c>
      <c r="F49" s="14"/>
    </row>
    <row r="50" spans="1:6" ht="15.6" x14ac:dyDescent="0.25">
      <c r="A50" s="31">
        <v>48</v>
      </c>
      <c r="B50" s="19" t="s">
        <v>172</v>
      </c>
      <c r="C50" s="17" t="s">
        <v>322</v>
      </c>
      <c r="D50" s="14" t="s">
        <v>161</v>
      </c>
      <c r="E50" s="14" t="s">
        <v>111</v>
      </c>
      <c r="F50" s="14"/>
    </row>
    <row r="51" spans="1:6" ht="15.6" x14ac:dyDescent="0.25">
      <c r="A51" s="31">
        <v>49</v>
      </c>
      <c r="B51" s="19" t="s">
        <v>173</v>
      </c>
      <c r="C51" s="17" t="s">
        <v>323</v>
      </c>
      <c r="D51" s="14" t="s">
        <v>161</v>
      </c>
      <c r="E51" s="14" t="s">
        <v>111</v>
      </c>
      <c r="F51" s="14"/>
    </row>
    <row r="52" spans="1:6" ht="15.6" x14ac:dyDescent="0.25">
      <c r="A52" s="31">
        <v>50</v>
      </c>
      <c r="B52" s="19" t="s">
        <v>160</v>
      </c>
      <c r="C52" s="17" t="s">
        <v>324</v>
      </c>
      <c r="D52" s="14" t="s">
        <v>161</v>
      </c>
      <c r="E52" s="14" t="s">
        <v>111</v>
      </c>
      <c r="F52" s="14"/>
    </row>
    <row r="53" spans="1:6" ht="15.6" x14ac:dyDescent="0.25">
      <c r="A53" s="31">
        <v>51</v>
      </c>
      <c r="B53" s="19" t="s">
        <v>174</v>
      </c>
      <c r="C53" s="17" t="s">
        <v>308</v>
      </c>
      <c r="D53" s="14" t="s">
        <v>161</v>
      </c>
      <c r="E53" s="14" t="s">
        <v>111</v>
      </c>
      <c r="F53" s="14"/>
    </row>
    <row r="54" spans="1:6" ht="15.6" x14ac:dyDescent="0.25">
      <c r="A54" s="31">
        <v>52</v>
      </c>
      <c r="B54" s="19" t="s">
        <v>175</v>
      </c>
      <c r="C54" s="17" t="s">
        <v>325</v>
      </c>
      <c r="D54" s="14" t="s">
        <v>161</v>
      </c>
      <c r="E54" s="14" t="s">
        <v>111</v>
      </c>
      <c r="F54" s="14"/>
    </row>
    <row r="55" spans="1:6" ht="15.6" x14ac:dyDescent="0.25">
      <c r="A55" s="31">
        <v>53</v>
      </c>
      <c r="B55" s="19" t="s">
        <v>176</v>
      </c>
      <c r="C55" s="17" t="s">
        <v>297</v>
      </c>
      <c r="D55" s="14" t="s">
        <v>162</v>
      </c>
      <c r="E55" s="14" t="s">
        <v>111</v>
      </c>
      <c r="F55" s="14"/>
    </row>
    <row r="56" spans="1:6" ht="15.6" x14ac:dyDescent="0.25">
      <c r="A56" s="31">
        <v>54</v>
      </c>
      <c r="B56" s="19" t="s">
        <v>178</v>
      </c>
      <c r="C56" s="17" t="s">
        <v>180</v>
      </c>
      <c r="D56" s="14" t="s">
        <v>162</v>
      </c>
      <c r="E56" s="14" t="s">
        <v>111</v>
      </c>
      <c r="F56" s="14"/>
    </row>
    <row r="57" spans="1:6" ht="15.6" x14ac:dyDescent="0.25">
      <c r="A57" s="31">
        <v>55</v>
      </c>
      <c r="B57" s="19" t="s">
        <v>177</v>
      </c>
      <c r="C57" s="17" t="s">
        <v>298</v>
      </c>
      <c r="D57" s="14" t="s">
        <v>162</v>
      </c>
      <c r="E57" s="14" t="s">
        <v>111</v>
      </c>
      <c r="F57" s="14"/>
    </row>
    <row r="58" spans="1:6" ht="15.6" x14ac:dyDescent="0.25">
      <c r="A58" s="31">
        <v>56</v>
      </c>
      <c r="B58" s="19" t="s">
        <v>200</v>
      </c>
      <c r="C58" s="17" t="s">
        <v>179</v>
      </c>
      <c r="D58" s="14" t="s">
        <v>162</v>
      </c>
      <c r="E58" s="14" t="s">
        <v>111</v>
      </c>
      <c r="F58" s="14"/>
    </row>
    <row r="59" spans="1:6" ht="15.6" x14ac:dyDescent="0.25">
      <c r="A59" s="31">
        <v>57</v>
      </c>
      <c r="B59" s="19" t="s">
        <v>188</v>
      </c>
      <c r="C59" s="21" t="s">
        <v>188</v>
      </c>
      <c r="D59" s="14" t="s">
        <v>181</v>
      </c>
      <c r="E59" s="14" t="s">
        <v>111</v>
      </c>
      <c r="F59" s="14"/>
    </row>
    <row r="60" spans="1:6" ht="15.6" x14ac:dyDescent="0.25">
      <c r="A60" s="31">
        <v>58</v>
      </c>
      <c r="B60" s="19" t="s">
        <v>184</v>
      </c>
      <c r="C60" s="17" t="s">
        <v>185</v>
      </c>
      <c r="D60" s="14" t="s">
        <v>181</v>
      </c>
      <c r="E60" s="14" t="s">
        <v>111</v>
      </c>
      <c r="F60" s="14"/>
    </row>
    <row r="61" spans="1:6" ht="15.6" x14ac:dyDescent="0.25">
      <c r="A61" s="31">
        <v>59</v>
      </c>
      <c r="B61" s="19" t="s">
        <v>183</v>
      </c>
      <c r="C61" s="21" t="s">
        <v>183</v>
      </c>
      <c r="D61" s="14" t="s">
        <v>181</v>
      </c>
      <c r="E61" s="14" t="s">
        <v>111</v>
      </c>
      <c r="F61" s="14"/>
    </row>
    <row r="62" spans="1:6" ht="15.6" x14ac:dyDescent="0.25">
      <c r="A62" s="31">
        <v>60</v>
      </c>
      <c r="B62" s="19" t="s">
        <v>166</v>
      </c>
      <c r="C62" s="17" t="s">
        <v>189</v>
      </c>
      <c r="D62" s="14" t="s">
        <v>181</v>
      </c>
      <c r="E62" s="14" t="s">
        <v>111</v>
      </c>
      <c r="F62" s="14"/>
    </row>
    <row r="63" spans="1:6" ht="15.6" x14ac:dyDescent="0.25">
      <c r="A63" s="31">
        <v>61</v>
      </c>
      <c r="B63" s="19" t="s">
        <v>190</v>
      </c>
      <c r="C63" s="17" t="s">
        <v>190</v>
      </c>
      <c r="D63" s="14" t="s">
        <v>181</v>
      </c>
      <c r="E63" s="14" t="s">
        <v>111</v>
      </c>
      <c r="F63" s="14"/>
    </row>
    <row r="64" spans="1:6" ht="15.6" x14ac:dyDescent="0.25">
      <c r="A64" s="31">
        <v>62</v>
      </c>
      <c r="B64" s="14" t="s">
        <v>191</v>
      </c>
      <c r="C64" s="17" t="s">
        <v>192</v>
      </c>
      <c r="D64" s="14" t="s">
        <v>181</v>
      </c>
      <c r="E64" s="14" t="s">
        <v>111</v>
      </c>
      <c r="F64" s="14"/>
    </row>
    <row r="65" spans="1:6" ht="15.6" x14ac:dyDescent="0.25">
      <c r="A65" s="31">
        <v>63</v>
      </c>
      <c r="B65" s="14" t="s">
        <v>163</v>
      </c>
      <c r="C65" s="17" t="s">
        <v>163</v>
      </c>
      <c r="D65" s="14" t="s">
        <v>181</v>
      </c>
      <c r="E65" s="14" t="s">
        <v>111</v>
      </c>
      <c r="F65" s="14"/>
    </row>
    <row r="66" spans="1:6" ht="15.6" x14ac:dyDescent="0.25">
      <c r="A66" s="31">
        <v>64</v>
      </c>
      <c r="B66" s="14" t="s">
        <v>182</v>
      </c>
      <c r="C66" s="17" t="s">
        <v>193</v>
      </c>
      <c r="D66" s="14" t="s">
        <v>181</v>
      </c>
      <c r="E66" s="14" t="s">
        <v>111</v>
      </c>
      <c r="F66" s="14"/>
    </row>
    <row r="67" spans="1:6" ht="15.6" x14ac:dyDescent="0.25">
      <c r="A67" s="31">
        <v>65</v>
      </c>
      <c r="B67" s="14" t="s">
        <v>194</v>
      </c>
      <c r="C67" s="17" t="s">
        <v>195</v>
      </c>
      <c r="D67" s="14" t="s">
        <v>181</v>
      </c>
      <c r="E67" s="14" t="s">
        <v>111</v>
      </c>
      <c r="F67" s="14"/>
    </row>
    <row r="68" spans="1:6" ht="15.6" x14ac:dyDescent="0.25">
      <c r="A68" s="31">
        <v>66</v>
      </c>
      <c r="B68" s="14" t="s">
        <v>196</v>
      </c>
      <c r="C68" s="17" t="s">
        <v>197</v>
      </c>
      <c r="D68" s="14" t="s">
        <v>181</v>
      </c>
      <c r="E68" s="14" t="s">
        <v>111</v>
      </c>
      <c r="F68" s="14"/>
    </row>
    <row r="69" spans="1:6" ht="15.6" x14ac:dyDescent="0.25">
      <c r="A69" s="31">
        <v>67</v>
      </c>
      <c r="B69" s="14" t="s">
        <v>186</v>
      </c>
      <c r="C69" s="17" t="s">
        <v>187</v>
      </c>
      <c r="D69" s="14" t="s">
        <v>181</v>
      </c>
      <c r="E69" s="14" t="s">
        <v>111</v>
      </c>
      <c r="F69" s="14"/>
    </row>
    <row r="70" spans="1:6" ht="15.6" x14ac:dyDescent="0.25">
      <c r="A70" s="31">
        <v>68</v>
      </c>
      <c r="B70" s="14" t="s">
        <v>198</v>
      </c>
      <c r="C70" s="17" t="s">
        <v>199</v>
      </c>
      <c r="D70" s="14" t="s">
        <v>181</v>
      </c>
      <c r="E70" s="14" t="s">
        <v>111</v>
      </c>
      <c r="F70" s="14"/>
    </row>
    <row r="71" spans="1:6" ht="15.6" x14ac:dyDescent="0.25">
      <c r="A71" s="31">
        <v>69</v>
      </c>
      <c r="B71" s="14" t="s">
        <v>201</v>
      </c>
      <c r="C71" s="17" t="s">
        <v>331</v>
      </c>
      <c r="D71" s="14" t="s">
        <v>181</v>
      </c>
      <c r="E71" s="14" t="s">
        <v>111</v>
      </c>
      <c r="F71" s="14"/>
    </row>
    <row r="72" spans="1:6" ht="15.6" x14ac:dyDescent="0.25">
      <c r="A72" s="31">
        <v>70</v>
      </c>
      <c r="B72" s="14" t="s">
        <v>205</v>
      </c>
      <c r="C72" s="17" t="s">
        <v>330</v>
      </c>
      <c r="D72" s="14" t="s">
        <v>181</v>
      </c>
      <c r="E72" s="14" t="s">
        <v>111</v>
      </c>
      <c r="F72" s="14"/>
    </row>
    <row r="73" spans="1:6" ht="15.6" x14ac:dyDescent="0.25">
      <c r="A73" s="31">
        <v>71</v>
      </c>
      <c r="B73" s="14" t="s">
        <v>204</v>
      </c>
      <c r="C73" s="17" t="s">
        <v>332</v>
      </c>
      <c r="D73" s="14" t="s">
        <v>181</v>
      </c>
      <c r="E73" s="14" t="s">
        <v>111</v>
      </c>
      <c r="F73" s="14"/>
    </row>
    <row r="74" spans="1:6" ht="15.6" x14ac:dyDescent="0.25">
      <c r="A74" s="31">
        <v>72</v>
      </c>
      <c r="B74" s="14" t="s">
        <v>206</v>
      </c>
      <c r="C74" s="17" t="s">
        <v>326</v>
      </c>
      <c r="D74" s="14" t="s">
        <v>181</v>
      </c>
      <c r="E74" s="14" t="s">
        <v>111</v>
      </c>
      <c r="F74" s="14"/>
    </row>
    <row r="75" spans="1:6" ht="15.6" x14ac:dyDescent="0.25">
      <c r="A75" s="31">
        <v>73</v>
      </c>
      <c r="B75" s="14" t="s">
        <v>207</v>
      </c>
      <c r="C75" s="17" t="s">
        <v>326</v>
      </c>
      <c r="D75" s="14" t="s">
        <v>181</v>
      </c>
      <c r="E75" s="14" t="s">
        <v>111</v>
      </c>
      <c r="F75" s="14"/>
    </row>
    <row r="76" spans="1:6" ht="15.6" x14ac:dyDescent="0.25">
      <c r="A76" s="31">
        <v>74</v>
      </c>
      <c r="B76" s="14" t="s">
        <v>209</v>
      </c>
      <c r="C76" s="17" t="s">
        <v>327</v>
      </c>
      <c r="D76" s="14" t="s">
        <v>181</v>
      </c>
      <c r="E76" s="14" t="s">
        <v>111</v>
      </c>
      <c r="F76" s="14"/>
    </row>
    <row r="77" spans="1:6" ht="15.6" x14ac:dyDescent="0.25">
      <c r="A77" s="31">
        <v>75</v>
      </c>
      <c r="B77" s="14" t="s">
        <v>210</v>
      </c>
      <c r="C77" s="17" t="s">
        <v>327</v>
      </c>
      <c r="D77" s="14" t="s">
        <v>181</v>
      </c>
      <c r="E77" s="14" t="s">
        <v>111</v>
      </c>
      <c r="F77" s="14"/>
    </row>
    <row r="78" spans="1:6" ht="15.6" x14ac:dyDescent="0.25">
      <c r="A78" s="31">
        <v>76</v>
      </c>
      <c r="B78" s="18" t="s">
        <v>211</v>
      </c>
      <c r="C78" s="17" t="s">
        <v>362</v>
      </c>
      <c r="D78" s="14" t="s">
        <v>181</v>
      </c>
      <c r="E78" s="14" t="s">
        <v>111</v>
      </c>
      <c r="F78" s="24"/>
    </row>
    <row r="79" spans="1:6" ht="15.6" x14ac:dyDescent="0.25">
      <c r="A79" s="31">
        <v>77</v>
      </c>
      <c r="B79" s="18" t="s">
        <v>212</v>
      </c>
      <c r="C79" s="17" t="s">
        <v>328</v>
      </c>
      <c r="D79" s="14" t="s">
        <v>181</v>
      </c>
      <c r="E79" s="14" t="s">
        <v>111</v>
      </c>
      <c r="F79" s="24"/>
    </row>
    <row r="80" spans="1:6" ht="15.6" x14ac:dyDescent="0.25">
      <c r="A80" s="31">
        <v>78</v>
      </c>
      <c r="B80" s="18" t="s">
        <v>344</v>
      </c>
      <c r="C80" s="17" t="s">
        <v>328</v>
      </c>
      <c r="D80" s="14" t="s">
        <v>181</v>
      </c>
      <c r="E80" s="14" t="s">
        <v>111</v>
      </c>
      <c r="F80" s="24"/>
    </row>
    <row r="81" spans="1:6" ht="15.6" x14ac:dyDescent="0.25">
      <c r="A81" s="31">
        <v>79</v>
      </c>
      <c r="B81" s="18" t="s">
        <v>213</v>
      </c>
      <c r="C81" s="17" t="s">
        <v>333</v>
      </c>
      <c r="D81" s="14" t="s">
        <v>181</v>
      </c>
      <c r="E81" s="14" t="s">
        <v>111</v>
      </c>
      <c r="F81" s="24"/>
    </row>
    <row r="82" spans="1:6" ht="15.6" x14ac:dyDescent="0.25">
      <c r="A82" s="31">
        <v>80</v>
      </c>
      <c r="B82" s="18" t="s">
        <v>214</v>
      </c>
      <c r="C82" s="17" t="s">
        <v>334</v>
      </c>
      <c r="D82" s="14" t="s">
        <v>181</v>
      </c>
      <c r="E82" s="14" t="s">
        <v>111</v>
      </c>
      <c r="F82" s="24"/>
    </row>
    <row r="83" spans="1:6" ht="15.6" x14ac:dyDescent="0.25">
      <c r="A83" s="31">
        <v>81</v>
      </c>
      <c r="B83" s="18" t="s">
        <v>215</v>
      </c>
      <c r="C83" s="17" t="s">
        <v>335</v>
      </c>
      <c r="D83" s="14" t="s">
        <v>181</v>
      </c>
      <c r="E83" s="14" t="s">
        <v>111</v>
      </c>
      <c r="F83" s="24"/>
    </row>
    <row r="84" spans="1:6" ht="15.6" x14ac:dyDescent="0.25">
      <c r="A84" s="31">
        <v>82</v>
      </c>
      <c r="B84" s="18" t="s">
        <v>217</v>
      </c>
      <c r="C84" s="17" t="s">
        <v>336</v>
      </c>
      <c r="D84" s="14" t="s">
        <v>181</v>
      </c>
      <c r="E84" s="14" t="s">
        <v>111</v>
      </c>
      <c r="F84" s="24"/>
    </row>
    <row r="85" spans="1:6" ht="15.6" x14ac:dyDescent="0.25">
      <c r="A85" s="31">
        <v>83</v>
      </c>
      <c r="B85" s="18" t="s">
        <v>218</v>
      </c>
      <c r="C85" s="17" t="s">
        <v>336</v>
      </c>
      <c r="D85" s="14" t="s">
        <v>181</v>
      </c>
      <c r="E85" s="14" t="s">
        <v>111</v>
      </c>
      <c r="F85" s="24"/>
    </row>
    <row r="86" spans="1:6" ht="15.6" x14ac:dyDescent="0.25">
      <c r="A86" s="31">
        <v>84</v>
      </c>
      <c r="B86" s="18" t="s">
        <v>219</v>
      </c>
      <c r="C86" s="17" t="s">
        <v>337</v>
      </c>
      <c r="D86" s="14" t="s">
        <v>181</v>
      </c>
      <c r="E86" s="14" t="s">
        <v>111</v>
      </c>
      <c r="F86" s="24"/>
    </row>
    <row r="87" spans="1:6" ht="15.6" x14ac:dyDescent="0.25">
      <c r="A87" s="31">
        <v>85</v>
      </c>
      <c r="B87" s="18" t="s">
        <v>262</v>
      </c>
      <c r="C87" s="17" t="s">
        <v>345</v>
      </c>
      <c r="D87" s="14" t="s">
        <v>181</v>
      </c>
      <c r="E87" s="14" t="s">
        <v>111</v>
      </c>
      <c r="F87" s="24"/>
    </row>
    <row r="88" spans="1:6" ht="15.6" x14ac:dyDescent="0.25">
      <c r="A88" s="31">
        <v>86</v>
      </c>
      <c r="B88" s="18" t="s">
        <v>220</v>
      </c>
      <c r="C88" s="17" t="s">
        <v>345</v>
      </c>
      <c r="D88" s="14" t="s">
        <v>181</v>
      </c>
      <c r="E88" s="14" t="s">
        <v>111</v>
      </c>
      <c r="F88" s="24"/>
    </row>
    <row r="89" spans="1:6" ht="15.6" x14ac:dyDescent="0.25">
      <c r="A89" s="31">
        <v>87</v>
      </c>
      <c r="B89" s="18" t="s">
        <v>221</v>
      </c>
      <c r="C89" s="17" t="s">
        <v>323</v>
      </c>
      <c r="D89" s="14" t="s">
        <v>181</v>
      </c>
      <c r="E89" s="14" t="s">
        <v>111</v>
      </c>
      <c r="F89" s="24"/>
    </row>
    <row r="90" spans="1:6" ht="15.6" x14ac:dyDescent="0.25">
      <c r="A90" s="31">
        <v>88</v>
      </c>
      <c r="B90" s="18" t="s">
        <v>222</v>
      </c>
      <c r="C90" s="17" t="s">
        <v>323</v>
      </c>
      <c r="D90" s="14" t="s">
        <v>181</v>
      </c>
      <c r="E90" s="14" t="s">
        <v>111</v>
      </c>
      <c r="F90" s="24"/>
    </row>
    <row r="91" spans="1:6" ht="15.6" x14ac:dyDescent="0.25">
      <c r="A91" s="31">
        <v>89</v>
      </c>
      <c r="B91" s="18" t="s">
        <v>223</v>
      </c>
      <c r="C91" s="17" t="s">
        <v>288</v>
      </c>
      <c r="D91" s="14" t="s">
        <v>181</v>
      </c>
      <c r="E91" s="14" t="s">
        <v>111</v>
      </c>
      <c r="F91" s="24"/>
    </row>
    <row r="92" spans="1:6" ht="15.6" x14ac:dyDescent="0.25">
      <c r="A92" s="31">
        <v>90</v>
      </c>
      <c r="B92" s="18" t="s">
        <v>346</v>
      </c>
      <c r="C92" s="17" t="s">
        <v>338</v>
      </c>
      <c r="D92" s="14" t="s">
        <v>181</v>
      </c>
      <c r="E92" s="14" t="s">
        <v>111</v>
      </c>
      <c r="F92" s="24"/>
    </row>
    <row r="93" spans="1:6" ht="15.6" x14ac:dyDescent="0.25">
      <c r="A93" s="31">
        <v>91</v>
      </c>
      <c r="B93" s="18" t="s">
        <v>224</v>
      </c>
      <c r="C93" s="17" t="s">
        <v>338</v>
      </c>
      <c r="D93" s="14" t="s">
        <v>181</v>
      </c>
      <c r="E93" s="14" t="s">
        <v>111</v>
      </c>
      <c r="F93" s="24"/>
    </row>
    <row r="94" spans="1:6" ht="15.6" x14ac:dyDescent="0.25">
      <c r="A94" s="31">
        <v>92</v>
      </c>
      <c r="B94" s="18" t="s">
        <v>225</v>
      </c>
      <c r="C94" s="17" t="s">
        <v>339</v>
      </c>
      <c r="D94" s="14" t="s">
        <v>181</v>
      </c>
      <c r="E94" s="14" t="s">
        <v>111</v>
      </c>
      <c r="F94" s="24"/>
    </row>
    <row r="95" spans="1:6" ht="15.6" x14ac:dyDescent="0.25">
      <c r="A95" s="31">
        <v>93</v>
      </c>
      <c r="B95" s="18" t="s">
        <v>226</v>
      </c>
      <c r="C95" s="17" t="s">
        <v>339</v>
      </c>
      <c r="D95" s="14" t="s">
        <v>181</v>
      </c>
      <c r="E95" s="14" t="s">
        <v>111</v>
      </c>
      <c r="F95" s="24"/>
    </row>
    <row r="96" spans="1:6" ht="15.6" x14ac:dyDescent="0.25">
      <c r="A96" s="31">
        <v>94</v>
      </c>
      <c r="B96" s="18" t="s">
        <v>227</v>
      </c>
      <c r="C96" s="17" t="s">
        <v>341</v>
      </c>
      <c r="D96" s="14" t="s">
        <v>181</v>
      </c>
      <c r="E96" s="14" t="s">
        <v>111</v>
      </c>
      <c r="F96" s="24"/>
    </row>
    <row r="97" spans="1:6" ht="15.6" x14ac:dyDescent="0.25">
      <c r="A97" s="31">
        <v>95</v>
      </c>
      <c r="B97" s="18" t="s">
        <v>228</v>
      </c>
      <c r="C97" s="17" t="s">
        <v>342</v>
      </c>
      <c r="D97" s="14" t="s">
        <v>181</v>
      </c>
      <c r="E97" s="14" t="s">
        <v>111</v>
      </c>
      <c r="F97" s="24"/>
    </row>
    <row r="98" spans="1:6" ht="15.6" x14ac:dyDescent="0.25">
      <c r="A98" s="31">
        <v>96</v>
      </c>
      <c r="B98" s="18" t="s">
        <v>229</v>
      </c>
      <c r="C98" s="17" t="s">
        <v>334</v>
      </c>
      <c r="D98" s="14" t="s">
        <v>181</v>
      </c>
      <c r="E98" s="14" t="s">
        <v>111</v>
      </c>
      <c r="F98" s="24"/>
    </row>
    <row r="99" spans="1:6" ht="15.6" x14ac:dyDescent="0.25">
      <c r="A99" s="31">
        <v>97</v>
      </c>
      <c r="B99" s="18" t="s">
        <v>230</v>
      </c>
      <c r="C99" s="17" t="s">
        <v>341</v>
      </c>
      <c r="D99" s="14" t="s">
        <v>181</v>
      </c>
      <c r="E99" s="14" t="s">
        <v>111</v>
      </c>
      <c r="F99" s="24"/>
    </row>
    <row r="100" spans="1:6" ht="15.6" x14ac:dyDescent="0.25">
      <c r="A100" s="31">
        <v>98</v>
      </c>
      <c r="B100" s="18" t="s">
        <v>231</v>
      </c>
      <c r="C100" s="17" t="s">
        <v>349</v>
      </c>
      <c r="D100" s="14" t="s">
        <v>181</v>
      </c>
      <c r="E100" s="14" t="s">
        <v>111</v>
      </c>
      <c r="F100" s="24"/>
    </row>
    <row r="101" spans="1:6" ht="15.6" x14ac:dyDescent="0.25">
      <c r="A101" s="31">
        <v>99</v>
      </c>
      <c r="B101" s="18" t="s">
        <v>261</v>
      </c>
      <c r="C101" s="17" t="s">
        <v>350</v>
      </c>
      <c r="D101" s="14" t="s">
        <v>181</v>
      </c>
      <c r="E101" s="14" t="s">
        <v>111</v>
      </c>
      <c r="F101" s="24"/>
    </row>
    <row r="102" spans="1:6" ht="15.6" x14ac:dyDescent="0.25">
      <c r="A102" s="31">
        <v>100</v>
      </c>
      <c r="B102" s="18" t="s">
        <v>233</v>
      </c>
      <c r="C102" s="17" t="s">
        <v>351</v>
      </c>
      <c r="D102" s="14" t="s">
        <v>181</v>
      </c>
      <c r="E102" s="14" t="s">
        <v>111</v>
      </c>
      <c r="F102" s="24"/>
    </row>
    <row r="103" spans="1:6" ht="15.6" x14ac:dyDescent="0.25">
      <c r="A103" s="31">
        <v>101</v>
      </c>
      <c r="B103" s="18" t="s">
        <v>234</v>
      </c>
      <c r="C103" s="17" t="s">
        <v>337</v>
      </c>
      <c r="D103" s="14" t="s">
        <v>181</v>
      </c>
      <c r="E103" s="14" t="s">
        <v>111</v>
      </c>
      <c r="F103" s="24"/>
    </row>
    <row r="104" spans="1:6" ht="15.6" x14ac:dyDescent="0.25">
      <c r="A104" s="31">
        <v>102</v>
      </c>
      <c r="B104" s="18" t="s">
        <v>235</v>
      </c>
      <c r="C104" s="17" t="s">
        <v>337</v>
      </c>
      <c r="D104" s="14" t="s">
        <v>181</v>
      </c>
      <c r="E104" s="14" t="s">
        <v>111</v>
      </c>
      <c r="F104" s="24"/>
    </row>
    <row r="105" spans="1:6" ht="15.6" x14ac:dyDescent="0.25">
      <c r="A105" s="31">
        <v>103</v>
      </c>
      <c r="B105" s="18" t="s">
        <v>236</v>
      </c>
      <c r="C105" s="17" t="s">
        <v>349</v>
      </c>
      <c r="D105" s="14" t="s">
        <v>181</v>
      </c>
      <c r="E105" s="14" t="s">
        <v>111</v>
      </c>
      <c r="F105" s="24"/>
    </row>
    <row r="106" spans="1:6" ht="15.6" x14ac:dyDescent="0.25">
      <c r="A106" s="31">
        <v>104</v>
      </c>
      <c r="B106" s="18" t="s">
        <v>237</v>
      </c>
      <c r="C106" s="17" t="s">
        <v>352</v>
      </c>
      <c r="D106" s="14" t="s">
        <v>181</v>
      </c>
      <c r="E106" s="14" t="s">
        <v>111</v>
      </c>
      <c r="F106" s="24"/>
    </row>
    <row r="107" spans="1:6" ht="15.6" x14ac:dyDescent="0.25">
      <c r="A107" s="31">
        <v>105</v>
      </c>
      <c r="B107" s="18" t="s">
        <v>238</v>
      </c>
      <c r="C107" s="17" t="s">
        <v>331</v>
      </c>
      <c r="D107" s="14" t="s">
        <v>181</v>
      </c>
      <c r="E107" s="14" t="s">
        <v>111</v>
      </c>
      <c r="F107" s="24"/>
    </row>
    <row r="108" spans="1:6" ht="15.6" x14ac:dyDescent="0.25">
      <c r="A108" s="31">
        <v>106</v>
      </c>
      <c r="B108" s="18" t="s">
        <v>239</v>
      </c>
      <c r="C108" s="17" t="s">
        <v>353</v>
      </c>
      <c r="D108" s="14" t="s">
        <v>181</v>
      </c>
      <c r="E108" s="14" t="s">
        <v>111</v>
      </c>
      <c r="F108" s="24"/>
    </row>
    <row r="109" spans="1:6" ht="15.6" x14ac:dyDescent="0.25">
      <c r="A109" s="31">
        <v>107</v>
      </c>
      <c r="B109" s="18" t="s">
        <v>240</v>
      </c>
      <c r="C109" s="17" t="s">
        <v>348</v>
      </c>
      <c r="D109" s="14" t="s">
        <v>181</v>
      </c>
      <c r="E109" s="14" t="s">
        <v>111</v>
      </c>
      <c r="F109" s="24"/>
    </row>
    <row r="110" spans="1:6" ht="15.6" x14ac:dyDescent="0.25">
      <c r="A110" s="31">
        <v>108</v>
      </c>
      <c r="B110" s="18" t="s">
        <v>241</v>
      </c>
      <c r="C110" s="27" t="s">
        <v>354</v>
      </c>
      <c r="D110" s="14" t="s">
        <v>181</v>
      </c>
      <c r="E110" s="14" t="s">
        <v>111</v>
      </c>
      <c r="F110" s="24"/>
    </row>
    <row r="111" spans="1:6" ht="15.6" x14ac:dyDescent="0.25">
      <c r="A111" s="31">
        <v>109</v>
      </c>
      <c r="B111" s="18" t="s">
        <v>190</v>
      </c>
      <c r="C111" s="17" t="s">
        <v>190</v>
      </c>
      <c r="D111" s="14" t="s">
        <v>181</v>
      </c>
      <c r="E111" s="14" t="s">
        <v>111</v>
      </c>
      <c r="F111" s="24"/>
    </row>
    <row r="112" spans="1:6" ht="15.6" x14ac:dyDescent="0.25">
      <c r="A112" s="31">
        <v>110</v>
      </c>
      <c r="B112" s="18" t="s">
        <v>242</v>
      </c>
      <c r="C112" s="17" t="s">
        <v>355</v>
      </c>
      <c r="D112" s="14" t="s">
        <v>181</v>
      </c>
      <c r="E112" s="14" t="s">
        <v>111</v>
      </c>
      <c r="F112" s="24"/>
    </row>
    <row r="113" spans="1:6" ht="15.6" x14ac:dyDescent="0.25">
      <c r="A113" s="31">
        <v>111</v>
      </c>
      <c r="B113" s="18" t="s">
        <v>246</v>
      </c>
      <c r="C113" s="17" t="s">
        <v>307</v>
      </c>
      <c r="D113" s="14" t="s">
        <v>181</v>
      </c>
      <c r="E113" s="14" t="s">
        <v>111</v>
      </c>
      <c r="F113" s="24"/>
    </row>
    <row r="114" spans="1:6" ht="15.6" x14ac:dyDescent="0.25">
      <c r="A114" s="31">
        <v>112</v>
      </c>
      <c r="B114" s="18" t="s">
        <v>247</v>
      </c>
      <c r="C114" s="17" t="s">
        <v>357</v>
      </c>
      <c r="D114" s="14" t="s">
        <v>181</v>
      </c>
      <c r="E114" s="14" t="s">
        <v>111</v>
      </c>
      <c r="F114" s="24"/>
    </row>
    <row r="115" spans="1:6" ht="15.6" x14ac:dyDescent="0.25">
      <c r="A115" s="31">
        <v>113</v>
      </c>
      <c r="B115" s="18" t="s">
        <v>249</v>
      </c>
      <c r="C115" s="17" t="s">
        <v>249</v>
      </c>
      <c r="D115" s="14" t="s">
        <v>181</v>
      </c>
      <c r="E115" s="14" t="s">
        <v>111</v>
      </c>
      <c r="F115" s="24"/>
    </row>
    <row r="116" spans="1:6" ht="15.6" x14ac:dyDescent="0.25">
      <c r="A116" s="31">
        <v>114</v>
      </c>
      <c r="B116" s="18" t="s">
        <v>253</v>
      </c>
      <c r="C116" s="17" t="s">
        <v>347</v>
      </c>
      <c r="D116" s="14" t="s">
        <v>181</v>
      </c>
      <c r="E116" s="14" t="s">
        <v>111</v>
      </c>
      <c r="F116" s="24"/>
    </row>
    <row r="117" spans="1:6" ht="15.6" x14ac:dyDescent="0.25">
      <c r="A117" s="31">
        <v>115</v>
      </c>
      <c r="B117" s="18" t="s">
        <v>254</v>
      </c>
      <c r="C117" s="17" t="s">
        <v>356</v>
      </c>
      <c r="D117" s="14" t="s">
        <v>181</v>
      </c>
      <c r="E117" s="14" t="s">
        <v>111</v>
      </c>
      <c r="F117" s="24"/>
    </row>
    <row r="118" spans="1:6" ht="15.6" x14ac:dyDescent="0.25">
      <c r="A118" s="31">
        <v>116</v>
      </c>
      <c r="B118" s="18" t="s">
        <v>255</v>
      </c>
      <c r="C118" s="17" t="s">
        <v>357</v>
      </c>
      <c r="D118" s="14" t="s">
        <v>181</v>
      </c>
      <c r="E118" s="14" t="s">
        <v>111</v>
      </c>
      <c r="F118" s="24"/>
    </row>
    <row r="119" spans="1:6" ht="15.6" x14ac:dyDescent="0.25">
      <c r="A119" s="31">
        <v>117</v>
      </c>
      <c r="B119" s="18" t="s">
        <v>257</v>
      </c>
      <c r="C119" s="17" t="s">
        <v>358</v>
      </c>
      <c r="D119" s="14" t="s">
        <v>181</v>
      </c>
      <c r="E119" s="14" t="s">
        <v>111</v>
      </c>
      <c r="F119" s="24"/>
    </row>
    <row r="120" spans="1:6" ht="15.6" x14ac:dyDescent="0.25">
      <c r="A120" s="31">
        <v>118</v>
      </c>
      <c r="B120" s="18" t="s">
        <v>263</v>
      </c>
      <c r="C120" s="17" t="s">
        <v>359</v>
      </c>
      <c r="D120" s="14" t="s">
        <v>181</v>
      </c>
      <c r="E120" s="14" t="s">
        <v>111</v>
      </c>
      <c r="F120" s="24"/>
    </row>
    <row r="121" spans="1:6" ht="15.6" x14ac:dyDescent="0.25">
      <c r="A121" s="31">
        <v>119</v>
      </c>
      <c r="B121" s="18" t="s">
        <v>264</v>
      </c>
      <c r="C121" s="17" t="s">
        <v>359</v>
      </c>
      <c r="D121" s="14" t="s">
        <v>181</v>
      </c>
      <c r="E121" s="14" t="s">
        <v>111</v>
      </c>
      <c r="F121" s="24"/>
    </row>
    <row r="122" spans="1:6" ht="15.6" x14ac:dyDescent="0.25">
      <c r="A122" s="31">
        <v>120</v>
      </c>
      <c r="B122" s="14" t="s">
        <v>265</v>
      </c>
      <c r="C122" s="17" t="s">
        <v>359</v>
      </c>
      <c r="D122" s="14" t="s">
        <v>181</v>
      </c>
      <c r="E122" s="14" t="s">
        <v>111</v>
      </c>
      <c r="F122" s="24"/>
    </row>
    <row r="123" spans="1:6" ht="15.6" x14ac:dyDescent="0.25">
      <c r="A123" s="31">
        <v>121</v>
      </c>
      <c r="B123" s="14" t="s">
        <v>266</v>
      </c>
      <c r="C123" s="17" t="s">
        <v>359</v>
      </c>
      <c r="D123" s="14" t="s">
        <v>181</v>
      </c>
      <c r="E123" s="14" t="s">
        <v>111</v>
      </c>
      <c r="F123" s="24"/>
    </row>
    <row r="124" spans="1:6" ht="15.6" x14ac:dyDescent="0.25">
      <c r="A124" s="31">
        <v>122</v>
      </c>
      <c r="B124" s="14" t="s">
        <v>267</v>
      </c>
      <c r="C124" s="17" t="s">
        <v>359</v>
      </c>
      <c r="D124" s="14" t="s">
        <v>181</v>
      </c>
      <c r="E124" s="14" t="s">
        <v>111</v>
      </c>
      <c r="F124" s="24"/>
    </row>
    <row r="125" spans="1:6" ht="15.6" x14ac:dyDescent="0.25">
      <c r="A125" s="31">
        <v>123</v>
      </c>
      <c r="B125" s="18" t="s">
        <v>277</v>
      </c>
      <c r="C125" s="17" t="s">
        <v>308</v>
      </c>
      <c r="D125" s="14" t="s">
        <v>181</v>
      </c>
      <c r="E125" s="14" t="s">
        <v>111</v>
      </c>
      <c r="F125" s="24"/>
    </row>
    <row r="126" spans="1:6" ht="15.6" x14ac:dyDescent="0.25">
      <c r="A126" s="31">
        <v>124</v>
      </c>
      <c r="B126" s="18" t="s">
        <v>374</v>
      </c>
      <c r="C126" s="27" t="s">
        <v>375</v>
      </c>
      <c r="D126" s="14" t="s">
        <v>181</v>
      </c>
      <c r="E126" s="14" t="s">
        <v>111</v>
      </c>
      <c r="F126" s="24"/>
    </row>
    <row r="127" spans="1:6" ht="15.6" x14ac:dyDescent="0.25">
      <c r="A127" s="31">
        <v>125</v>
      </c>
      <c r="B127" s="18" t="s">
        <v>376</v>
      </c>
      <c r="C127" s="17" t="s">
        <v>377</v>
      </c>
      <c r="D127" s="14" t="s">
        <v>181</v>
      </c>
      <c r="E127" s="14" t="s">
        <v>111</v>
      </c>
      <c r="F127" s="24"/>
    </row>
    <row r="128" spans="1:6" ht="15.6" x14ac:dyDescent="0.25">
      <c r="A128" s="31">
        <v>126</v>
      </c>
      <c r="B128" s="18" t="s">
        <v>378</v>
      </c>
      <c r="C128" s="28" t="s">
        <v>379</v>
      </c>
      <c r="D128" s="14" t="s">
        <v>181</v>
      </c>
      <c r="E128" s="14" t="s">
        <v>111</v>
      </c>
      <c r="F128" s="24"/>
    </row>
    <row r="129" spans="1:6" ht="15.6" x14ac:dyDescent="0.25">
      <c r="A129" s="31">
        <v>127</v>
      </c>
      <c r="B129" s="18" t="s">
        <v>380</v>
      </c>
      <c r="C129" s="17" t="s">
        <v>348</v>
      </c>
      <c r="D129" s="14" t="s">
        <v>181</v>
      </c>
      <c r="E129" s="14" t="s">
        <v>111</v>
      </c>
      <c r="F129" s="24"/>
    </row>
    <row r="130" spans="1:6" ht="15.6" x14ac:dyDescent="0.25">
      <c r="A130" s="31">
        <v>128</v>
      </c>
      <c r="B130" s="18" t="s">
        <v>381</v>
      </c>
      <c r="C130" s="17" t="s">
        <v>350</v>
      </c>
      <c r="D130" s="14" t="s">
        <v>181</v>
      </c>
      <c r="E130" s="14" t="s">
        <v>111</v>
      </c>
      <c r="F130" s="24"/>
    </row>
    <row r="131" spans="1:6" ht="15.6" x14ac:dyDescent="0.25">
      <c r="A131" s="31">
        <v>129</v>
      </c>
      <c r="B131" s="18" t="s">
        <v>278</v>
      </c>
      <c r="C131" s="17" t="s">
        <v>360</v>
      </c>
      <c r="D131" s="14" t="s">
        <v>181</v>
      </c>
      <c r="E131" s="14" t="s">
        <v>111</v>
      </c>
      <c r="F131" s="24"/>
    </row>
    <row r="132" spans="1:6" ht="15.6" x14ac:dyDescent="0.25">
      <c r="A132" s="31">
        <v>130</v>
      </c>
      <c r="B132" s="18" t="s">
        <v>232</v>
      </c>
      <c r="C132" s="17" t="s">
        <v>361</v>
      </c>
      <c r="D132" s="14" t="s">
        <v>260</v>
      </c>
      <c r="E132" s="14" t="s">
        <v>111</v>
      </c>
      <c r="F132" s="24"/>
    </row>
    <row r="133" spans="1:6" ht="15.6" x14ac:dyDescent="0.25">
      <c r="A133" s="31">
        <v>131</v>
      </c>
      <c r="B133" s="18" t="s">
        <v>245</v>
      </c>
      <c r="C133" s="17" t="s">
        <v>245</v>
      </c>
      <c r="D133" s="14" t="s">
        <v>260</v>
      </c>
      <c r="E133" s="14" t="s">
        <v>111</v>
      </c>
      <c r="F133" s="24"/>
    </row>
    <row r="134" spans="1:6" ht="15.6" x14ac:dyDescent="0.25">
      <c r="A134" s="31">
        <v>132</v>
      </c>
      <c r="B134" s="18" t="s">
        <v>272</v>
      </c>
      <c r="C134" s="17" t="s">
        <v>363</v>
      </c>
      <c r="D134" s="14" t="s">
        <v>260</v>
      </c>
      <c r="E134" s="14" t="s">
        <v>111</v>
      </c>
      <c r="F134" s="24"/>
    </row>
    <row r="135" spans="1:6" ht="15.6" x14ac:dyDescent="0.25">
      <c r="A135" s="31">
        <v>133</v>
      </c>
      <c r="B135" s="18" t="s">
        <v>250</v>
      </c>
      <c r="C135" s="17" t="s">
        <v>364</v>
      </c>
      <c r="D135" s="14" t="s">
        <v>260</v>
      </c>
      <c r="E135" s="14" t="s">
        <v>111</v>
      </c>
      <c r="F135" s="24"/>
    </row>
    <row r="136" spans="1:6" ht="15.6" x14ac:dyDescent="0.25">
      <c r="A136" s="31">
        <v>134</v>
      </c>
      <c r="B136" s="18" t="s">
        <v>251</v>
      </c>
      <c r="C136" s="17" t="s">
        <v>365</v>
      </c>
      <c r="D136" s="14" t="s">
        <v>260</v>
      </c>
      <c r="E136" s="14" t="s">
        <v>111</v>
      </c>
      <c r="F136" s="24"/>
    </row>
    <row r="137" spans="1:6" ht="15.6" x14ac:dyDescent="0.25">
      <c r="A137" s="31">
        <v>135</v>
      </c>
      <c r="B137" s="18" t="s">
        <v>252</v>
      </c>
      <c r="C137" s="17" t="s">
        <v>366</v>
      </c>
      <c r="D137" s="14" t="s">
        <v>260</v>
      </c>
      <c r="E137" s="14" t="s">
        <v>111</v>
      </c>
      <c r="F137" s="24"/>
    </row>
    <row r="138" spans="1:6" ht="15.6" x14ac:dyDescent="0.25">
      <c r="A138" s="31">
        <v>136</v>
      </c>
      <c r="B138" s="18" t="s">
        <v>256</v>
      </c>
      <c r="C138" s="17" t="s">
        <v>367</v>
      </c>
      <c r="D138" s="14" t="s">
        <v>260</v>
      </c>
      <c r="E138" s="14" t="s">
        <v>111</v>
      </c>
      <c r="F138" s="24"/>
    </row>
    <row r="139" spans="1:6" ht="15.6" x14ac:dyDescent="0.25">
      <c r="A139" s="31">
        <v>137</v>
      </c>
      <c r="B139" s="18" t="s">
        <v>243</v>
      </c>
      <c r="C139" s="17" t="s">
        <v>368</v>
      </c>
      <c r="D139" s="14" t="s">
        <v>260</v>
      </c>
      <c r="E139" s="14" t="s">
        <v>111</v>
      </c>
      <c r="F139" s="24"/>
    </row>
    <row r="140" spans="1:6" ht="15.6" x14ac:dyDescent="0.25">
      <c r="A140" s="31">
        <v>138</v>
      </c>
      <c r="B140" s="18" t="s">
        <v>258</v>
      </c>
      <c r="C140" s="17" t="s">
        <v>299</v>
      </c>
      <c r="D140" s="14" t="s">
        <v>260</v>
      </c>
      <c r="E140" s="14" t="s">
        <v>111</v>
      </c>
      <c r="F140" s="24"/>
    </row>
    <row r="141" spans="1:6" ht="15.6" x14ac:dyDescent="0.25">
      <c r="A141" s="31">
        <v>139</v>
      </c>
      <c r="B141" s="18" t="s">
        <v>259</v>
      </c>
      <c r="C141" s="17" t="s">
        <v>300</v>
      </c>
      <c r="D141" s="14" t="s">
        <v>260</v>
      </c>
      <c r="E141" s="14" t="s">
        <v>111</v>
      </c>
      <c r="F141" s="24"/>
    </row>
    <row r="142" spans="1:6" ht="15.6" x14ac:dyDescent="0.25">
      <c r="A142" s="31">
        <v>140</v>
      </c>
      <c r="B142" s="14" t="s">
        <v>202</v>
      </c>
      <c r="C142" s="17" t="s">
        <v>300</v>
      </c>
      <c r="D142" s="14" t="s">
        <v>260</v>
      </c>
      <c r="E142" s="14" t="s">
        <v>111</v>
      </c>
      <c r="F142" s="24"/>
    </row>
    <row r="143" spans="1:6" ht="15.6" x14ac:dyDescent="0.25">
      <c r="A143" s="31">
        <v>141</v>
      </c>
      <c r="B143" s="14" t="s">
        <v>203</v>
      </c>
      <c r="C143" s="17" t="s">
        <v>300</v>
      </c>
      <c r="D143" s="14" t="s">
        <v>260</v>
      </c>
      <c r="E143" s="14" t="s">
        <v>111</v>
      </c>
      <c r="F143" s="24"/>
    </row>
    <row r="144" spans="1:6" ht="15.6" x14ac:dyDescent="0.25">
      <c r="A144" s="31">
        <v>142</v>
      </c>
      <c r="B144" s="14" t="s">
        <v>208</v>
      </c>
      <c r="C144" s="17" t="s">
        <v>300</v>
      </c>
      <c r="D144" s="14" t="s">
        <v>260</v>
      </c>
      <c r="E144" s="14" t="s">
        <v>111</v>
      </c>
      <c r="F144" s="24"/>
    </row>
    <row r="145" spans="1:6" ht="15.6" x14ac:dyDescent="0.25">
      <c r="A145" s="31">
        <v>143</v>
      </c>
      <c r="B145" s="18" t="s">
        <v>271</v>
      </c>
      <c r="C145" s="17" t="s">
        <v>300</v>
      </c>
      <c r="D145" s="14" t="s">
        <v>260</v>
      </c>
      <c r="E145" s="14" t="s">
        <v>111</v>
      </c>
      <c r="F145" s="24"/>
    </row>
    <row r="146" spans="1:6" ht="15.6" x14ac:dyDescent="0.25">
      <c r="A146" s="31">
        <v>144</v>
      </c>
      <c r="B146" s="18" t="s">
        <v>269</v>
      </c>
      <c r="C146" s="17" t="s">
        <v>369</v>
      </c>
      <c r="D146" s="14" t="s">
        <v>260</v>
      </c>
      <c r="E146" s="14" t="s">
        <v>111</v>
      </c>
      <c r="F146" s="24"/>
    </row>
    <row r="147" spans="1:6" ht="15.6" x14ac:dyDescent="0.25">
      <c r="A147" s="31">
        <v>145</v>
      </c>
      <c r="B147" s="18" t="s">
        <v>270</v>
      </c>
      <c r="C147" s="17" t="s">
        <v>369</v>
      </c>
      <c r="D147" s="14" t="s">
        <v>260</v>
      </c>
      <c r="E147" s="14" t="s">
        <v>111</v>
      </c>
      <c r="F147" s="24"/>
    </row>
    <row r="148" spans="1:6" ht="15.6" x14ac:dyDescent="0.25">
      <c r="A148" s="31">
        <v>146</v>
      </c>
      <c r="B148" s="18" t="s">
        <v>268</v>
      </c>
      <c r="C148" s="17" t="s">
        <v>369</v>
      </c>
      <c r="D148" s="14" t="s">
        <v>260</v>
      </c>
      <c r="E148" s="14" t="s">
        <v>111</v>
      </c>
      <c r="F148" s="24"/>
    </row>
    <row r="149" spans="1:6" ht="15.6" x14ac:dyDescent="0.25">
      <c r="A149" s="31">
        <v>147</v>
      </c>
      <c r="B149" s="18" t="s">
        <v>248</v>
      </c>
      <c r="C149" s="17" t="s">
        <v>370</v>
      </c>
      <c r="D149" s="14" t="s">
        <v>260</v>
      </c>
      <c r="E149" s="14" t="s">
        <v>111</v>
      </c>
      <c r="F149" s="24"/>
    </row>
    <row r="150" spans="1:6" ht="15.6" x14ac:dyDescent="0.25">
      <c r="A150" s="31">
        <v>148</v>
      </c>
      <c r="B150" s="18" t="s">
        <v>273</v>
      </c>
      <c r="C150" s="17" t="s">
        <v>305</v>
      </c>
      <c r="D150" s="14" t="s">
        <v>260</v>
      </c>
      <c r="E150" s="14" t="s">
        <v>111</v>
      </c>
      <c r="F150" s="24"/>
    </row>
    <row r="151" spans="1:6" ht="15.6" x14ac:dyDescent="0.25">
      <c r="A151" s="31">
        <v>149</v>
      </c>
      <c r="B151" s="18" t="s">
        <v>274</v>
      </c>
      <c r="C151" s="17" t="s">
        <v>305</v>
      </c>
      <c r="D151" s="14" t="s">
        <v>260</v>
      </c>
      <c r="E151" s="14" t="s">
        <v>111</v>
      </c>
      <c r="F151" s="24"/>
    </row>
    <row r="152" spans="1:6" ht="15.6" x14ac:dyDescent="0.25">
      <c r="A152" s="31">
        <v>150</v>
      </c>
      <c r="B152" s="18" t="s">
        <v>275</v>
      </c>
      <c r="C152" s="17" t="s">
        <v>308</v>
      </c>
      <c r="D152" s="14" t="s">
        <v>260</v>
      </c>
      <c r="E152" s="14" t="s">
        <v>111</v>
      </c>
      <c r="F152" s="24"/>
    </row>
    <row r="153" spans="1:6" ht="15.6" x14ac:dyDescent="0.25">
      <c r="A153" s="31">
        <v>151</v>
      </c>
      <c r="B153" s="18" t="s">
        <v>276</v>
      </c>
      <c r="C153" s="17" t="s">
        <v>308</v>
      </c>
      <c r="D153" s="14" t="s">
        <v>260</v>
      </c>
      <c r="E153" s="14" t="s">
        <v>111</v>
      </c>
      <c r="F153" s="24"/>
    </row>
    <row r="154" spans="1:6" ht="15.6" x14ac:dyDescent="0.25">
      <c r="A154" s="31">
        <v>152</v>
      </c>
      <c r="B154" s="18" t="s">
        <v>372</v>
      </c>
      <c r="C154" s="17" t="s">
        <v>371</v>
      </c>
      <c r="D154" s="14" t="s">
        <v>260</v>
      </c>
      <c r="E154" s="14" t="s">
        <v>111</v>
      </c>
      <c r="F154" s="24"/>
    </row>
    <row r="155" spans="1:6" ht="15.6" x14ac:dyDescent="0.25">
      <c r="A155" s="31">
        <v>153</v>
      </c>
      <c r="B155" s="18" t="s">
        <v>216</v>
      </c>
      <c r="C155" s="17" t="s">
        <v>244</v>
      </c>
      <c r="D155" s="14" t="s">
        <v>260</v>
      </c>
      <c r="E155" s="14" t="s">
        <v>111</v>
      </c>
      <c r="F155" s="24"/>
    </row>
    <row r="156" spans="1:6" ht="15.6" x14ac:dyDescent="0.25">
      <c r="A156" s="31">
        <v>154</v>
      </c>
      <c r="B156" s="18" t="s">
        <v>244</v>
      </c>
      <c r="C156" s="17" t="s">
        <v>244</v>
      </c>
      <c r="D156" s="14" t="s">
        <v>260</v>
      </c>
      <c r="E156" s="14" t="s">
        <v>111</v>
      </c>
      <c r="F156" s="24"/>
    </row>
    <row r="157" spans="1:6" ht="15.6" x14ac:dyDescent="0.25">
      <c r="A157" s="31">
        <v>155</v>
      </c>
      <c r="B157" s="19" t="s">
        <v>279</v>
      </c>
      <c r="C157" s="17" t="s">
        <v>341</v>
      </c>
      <c r="D157" s="18" t="s">
        <v>294</v>
      </c>
      <c r="E157" s="14" t="s">
        <v>111</v>
      </c>
      <c r="F157" s="24"/>
    </row>
    <row r="158" spans="1:6" ht="15.6" x14ac:dyDescent="0.25">
      <c r="A158" s="31">
        <v>156</v>
      </c>
      <c r="B158" s="19" t="s">
        <v>280</v>
      </c>
      <c r="C158" s="17" t="s">
        <v>382</v>
      </c>
      <c r="D158" s="18" t="s">
        <v>294</v>
      </c>
      <c r="E158" s="14" t="s">
        <v>111</v>
      </c>
      <c r="F158" s="24"/>
    </row>
    <row r="159" spans="1:6" ht="15.6" x14ac:dyDescent="0.25">
      <c r="A159" s="31">
        <v>157</v>
      </c>
      <c r="B159" s="19" t="s">
        <v>289</v>
      </c>
      <c r="C159" s="17" t="s">
        <v>197</v>
      </c>
      <c r="D159" s="18" t="s">
        <v>294</v>
      </c>
      <c r="E159" s="14" t="s">
        <v>111</v>
      </c>
      <c r="F159" s="24"/>
    </row>
    <row r="160" spans="1:6" ht="15.6" x14ac:dyDescent="0.25">
      <c r="A160" s="31">
        <v>158</v>
      </c>
      <c r="B160" s="19" t="s">
        <v>281</v>
      </c>
      <c r="C160" s="17" t="s">
        <v>245</v>
      </c>
      <c r="D160" s="18" t="s">
        <v>294</v>
      </c>
      <c r="E160" s="14" t="s">
        <v>111</v>
      </c>
      <c r="F160" s="24"/>
    </row>
    <row r="161" spans="1:6" ht="15.6" x14ac:dyDescent="0.25">
      <c r="A161" s="31">
        <v>159</v>
      </c>
      <c r="B161" s="19" t="s">
        <v>290</v>
      </c>
      <c r="C161" s="17" t="s">
        <v>287</v>
      </c>
      <c r="D161" s="18" t="s">
        <v>294</v>
      </c>
      <c r="E161" s="14" t="s">
        <v>111</v>
      </c>
      <c r="F161" s="24"/>
    </row>
    <row r="162" spans="1:6" ht="15.6" x14ac:dyDescent="0.25">
      <c r="A162" s="31">
        <v>160</v>
      </c>
      <c r="B162" s="19" t="s">
        <v>291</v>
      </c>
      <c r="C162" s="17" t="s">
        <v>287</v>
      </c>
      <c r="D162" s="18" t="s">
        <v>294</v>
      </c>
      <c r="E162" s="14" t="s">
        <v>111</v>
      </c>
      <c r="F162" s="24"/>
    </row>
    <row r="163" spans="1:6" ht="15.6" x14ac:dyDescent="0.25">
      <c r="A163" s="31">
        <v>161</v>
      </c>
      <c r="B163" s="19" t="s">
        <v>197</v>
      </c>
      <c r="C163" s="17" t="s">
        <v>197</v>
      </c>
      <c r="D163" s="18" t="s">
        <v>294</v>
      </c>
      <c r="E163" s="14" t="s">
        <v>111</v>
      </c>
      <c r="F163" s="24"/>
    </row>
    <row r="164" spans="1:6" ht="15.6" x14ac:dyDescent="0.25">
      <c r="A164" s="31">
        <v>162</v>
      </c>
      <c r="B164" s="19" t="s">
        <v>282</v>
      </c>
      <c r="C164" s="17" t="s">
        <v>197</v>
      </c>
      <c r="D164" s="18" t="s">
        <v>294</v>
      </c>
      <c r="E164" s="14" t="s">
        <v>111</v>
      </c>
      <c r="F164" s="24"/>
    </row>
    <row r="165" spans="1:6" ht="15.6" x14ac:dyDescent="0.25">
      <c r="A165" s="31">
        <v>163</v>
      </c>
      <c r="B165" s="19" t="s">
        <v>283</v>
      </c>
      <c r="C165" s="17" t="s">
        <v>283</v>
      </c>
      <c r="D165" s="18" t="s">
        <v>294</v>
      </c>
      <c r="E165" s="14" t="s">
        <v>111</v>
      </c>
      <c r="F165" s="24"/>
    </row>
    <row r="166" spans="1:6" ht="15.6" x14ac:dyDescent="0.25">
      <c r="A166" s="31">
        <v>164</v>
      </c>
      <c r="B166" s="19" t="s">
        <v>284</v>
      </c>
      <c r="C166" s="17" t="s">
        <v>284</v>
      </c>
      <c r="D166" s="18" t="s">
        <v>294</v>
      </c>
      <c r="E166" s="14" t="s">
        <v>111</v>
      </c>
      <c r="F166" s="24"/>
    </row>
    <row r="167" spans="1:6" ht="15.6" x14ac:dyDescent="0.25">
      <c r="A167" s="31">
        <v>165</v>
      </c>
      <c r="B167" s="19" t="s">
        <v>292</v>
      </c>
      <c r="C167" s="17" t="s">
        <v>285</v>
      </c>
      <c r="D167" s="18" t="s">
        <v>294</v>
      </c>
      <c r="E167" s="14" t="s">
        <v>111</v>
      </c>
      <c r="F167" s="24"/>
    </row>
    <row r="168" spans="1:6" ht="15.6" x14ac:dyDescent="0.25">
      <c r="A168" s="31">
        <v>166</v>
      </c>
      <c r="B168" s="19" t="s">
        <v>285</v>
      </c>
      <c r="C168" s="17" t="s">
        <v>285</v>
      </c>
      <c r="D168" s="18" t="s">
        <v>294</v>
      </c>
      <c r="E168" s="14" t="s">
        <v>111</v>
      </c>
      <c r="F168" s="24"/>
    </row>
    <row r="169" spans="1:6" ht="15.6" x14ac:dyDescent="0.25">
      <c r="A169" s="31">
        <v>167</v>
      </c>
      <c r="B169" s="19" t="s">
        <v>293</v>
      </c>
      <c r="C169" s="17" t="s">
        <v>288</v>
      </c>
      <c r="D169" s="18" t="s">
        <v>294</v>
      </c>
      <c r="E169" s="14" t="s">
        <v>111</v>
      </c>
      <c r="F169" s="24"/>
    </row>
    <row r="170" spans="1:6" ht="15.6" x14ac:dyDescent="0.25">
      <c r="A170" s="31">
        <v>168</v>
      </c>
      <c r="B170" s="19" t="s">
        <v>286</v>
      </c>
      <c r="C170" s="17" t="s">
        <v>369</v>
      </c>
      <c r="D170" s="18" t="s">
        <v>294</v>
      </c>
      <c r="E170" s="14" t="s">
        <v>111</v>
      </c>
      <c r="F170" s="24"/>
    </row>
    <row r="171" spans="1:6" ht="15.6" x14ac:dyDescent="0.25">
      <c r="A171" s="31">
        <v>169</v>
      </c>
      <c r="B171" s="18" t="s">
        <v>295</v>
      </c>
      <c r="C171" s="17" t="s">
        <v>296</v>
      </c>
      <c r="D171" s="18" t="s">
        <v>294</v>
      </c>
      <c r="E171" s="18" t="s">
        <v>111</v>
      </c>
      <c r="F171" s="24"/>
    </row>
    <row r="172" spans="1:6" ht="15.6" x14ac:dyDescent="0.25">
      <c r="A172" s="31">
        <v>170</v>
      </c>
      <c r="B172" s="18" t="s">
        <v>329</v>
      </c>
      <c r="C172" s="17" t="s">
        <v>383</v>
      </c>
      <c r="D172" s="18" t="s">
        <v>294</v>
      </c>
      <c r="E172" s="18" t="s">
        <v>111</v>
      </c>
      <c r="F172" s="24"/>
    </row>
    <row r="173" spans="1:6" ht="15.6" x14ac:dyDescent="0.25">
      <c r="A173" s="31">
        <v>171</v>
      </c>
      <c r="B173" s="18" t="s">
        <v>384</v>
      </c>
      <c r="C173" s="17" t="s">
        <v>371</v>
      </c>
      <c r="D173" s="18" t="s">
        <v>294</v>
      </c>
      <c r="E173" s="18" t="s">
        <v>111</v>
      </c>
      <c r="F173" s="24"/>
    </row>
    <row r="174" spans="1:6" ht="15.6" x14ac:dyDescent="0.25">
      <c r="A174" s="31">
        <v>172</v>
      </c>
      <c r="B174" s="15"/>
      <c r="C174" s="15"/>
      <c r="D174" s="15"/>
      <c r="E174" s="15"/>
      <c r="F174" s="15"/>
    </row>
    <row r="175" spans="1:6" ht="15.6" x14ac:dyDescent="0.25">
      <c r="A175" s="31">
        <v>173</v>
      </c>
      <c r="B175" s="15"/>
      <c r="C175" s="15"/>
      <c r="D175" s="15"/>
      <c r="E175" s="15"/>
      <c r="F175" s="15"/>
    </row>
    <row r="176" spans="1:6" ht="15.6" x14ac:dyDescent="0.25">
      <c r="A176" s="31">
        <v>174</v>
      </c>
      <c r="B176" s="15"/>
      <c r="C176" s="15"/>
      <c r="D176" s="15"/>
      <c r="E176" s="15"/>
      <c r="F176" s="15"/>
    </row>
    <row r="177" spans="1:6" ht="15.6" x14ac:dyDescent="0.25">
      <c r="A177" s="31">
        <v>175</v>
      </c>
      <c r="B177" s="15"/>
      <c r="C177" s="15"/>
      <c r="D177" s="15"/>
      <c r="E177" s="15"/>
      <c r="F177" s="15"/>
    </row>
    <row r="178" spans="1:6" ht="15.6" x14ac:dyDescent="0.25">
      <c r="A178" s="31">
        <v>176</v>
      </c>
      <c r="B178" s="15"/>
      <c r="C178" s="15"/>
      <c r="D178" s="15"/>
      <c r="E178" s="15"/>
      <c r="F178" s="15"/>
    </row>
    <row r="179" spans="1:6" ht="15.6" x14ac:dyDescent="0.25">
      <c r="A179" s="31">
        <v>177</v>
      </c>
      <c r="B179" s="15"/>
      <c r="C179" s="15"/>
      <c r="D179" s="15"/>
      <c r="E179" s="15"/>
      <c r="F179" s="15"/>
    </row>
    <row r="180" spans="1:6" ht="15.6" x14ac:dyDescent="0.25">
      <c r="A180" s="31">
        <v>178</v>
      </c>
      <c r="B180" s="15"/>
      <c r="C180" s="15"/>
      <c r="D180" s="15"/>
      <c r="E180" s="15"/>
      <c r="F180" s="15"/>
    </row>
  </sheetData>
  <dataValidations count="1">
    <dataValidation type="list" allowBlank="1" showInputMessage="1" showErrorMessage="1" sqref="E3:E170" xr:uid="{AE7AB4A2-3FD1-4B82-8B18-02186A74B418}">
      <formula1>"OPENING,RECEIPT,ISSUE,DISCARD"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Table 1</vt:lpstr>
      <vt:lpstr>Store</vt:lpstr>
      <vt:lpstr>Stock register</vt:lpstr>
      <vt:lpstr>TRANSACTION</vt:lpstr>
      <vt:lpstr>Pharmacy</vt:lpstr>
      <vt:lpstr>TRANSACTION!LIST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2025-10-31T05:54:24Z</cp:lastPrinted>
  <dcterms:created xsi:type="dcterms:W3CDTF">2025-07-26T08:21:11Z</dcterms:created>
  <dcterms:modified xsi:type="dcterms:W3CDTF">2026-04-15T05:55:14Z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2025-07-26T00:00:00Z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2025-07-26T00:00:00Z</vt:filetime>
  </property>
  <property fmtid="{D5CDD505-2E9C-101B-9397-08002B2CF9AE}" pid="5" name="Producer">
    <vt:lpwstr>Microsoft® Word 2016</vt:lpwstr>
  </property>
</Properties>
</file>